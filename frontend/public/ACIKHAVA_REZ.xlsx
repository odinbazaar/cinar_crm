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rafik2/Desktop/CAN ÇINAR İŞLER/MÜŞTERİ REZ LİST/"/>
    </mc:Choice>
  </mc:AlternateContent>
  <xr:revisionPtr revIDLastSave="0" documentId="13_ncr:1_{7491A429-AC9D-7943-86B1-035D3259F5E1}" xr6:coauthVersionLast="37" xr6:coauthVersionMax="45" xr10:uidLastSave="{00000000-0000-0000-0000-000000000000}"/>
  <bookViews>
    <workbookView xWindow="20" yWindow="460" windowWidth="46380" windowHeight="26420" xr2:uid="{165B55AD-8602-1945-82D0-6FF1397FDC68}"/>
  </bookViews>
  <sheets>
    <sheet name="AÇIKHAVA REZ." sheetId="5" r:id="rId1"/>
    <sheet name="MAVİBAHÇE-ATAKENT REZ" sheetId="3" r:id="rId2"/>
    <sheet name="MAVİBAHÇE ATAKENT HATA " sheetId="4" r:id="rId3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5" i="5" l="1"/>
  <c r="H25" i="5" s="1"/>
  <c r="H70" i="3" l="1"/>
  <c r="H71" i="3"/>
  <c r="H72" i="3"/>
  <c r="H73" i="3"/>
  <c r="H74" i="3"/>
  <c r="H75" i="3"/>
  <c r="H76" i="3"/>
  <c r="H77" i="3"/>
  <c r="H78" i="3"/>
  <c r="G46" i="5" l="1"/>
  <c r="H64" i="3" l="1"/>
  <c r="H65" i="3"/>
  <c r="H66" i="3"/>
  <c r="H67" i="3"/>
  <c r="H68" i="3"/>
  <c r="H69" i="3"/>
  <c r="G10" i="5" l="1"/>
  <c r="H10" i="5" s="1"/>
  <c r="G21" i="5" l="1"/>
  <c r="H49" i="3" l="1"/>
  <c r="I49" i="3" s="1"/>
  <c r="H48" i="3"/>
  <c r="I48" i="3" s="1"/>
  <c r="G100" i="5" l="1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5" i="5"/>
  <c r="G84" i="5"/>
  <c r="G83" i="5"/>
  <c r="G82" i="5"/>
  <c r="G81" i="5"/>
  <c r="G80" i="5"/>
  <c r="G79" i="5"/>
  <c r="G78" i="5"/>
  <c r="G77" i="5"/>
  <c r="G76" i="5"/>
  <c r="G74" i="5"/>
  <c r="H74" i="5" s="1"/>
  <c r="G73" i="5"/>
  <c r="G72" i="5"/>
  <c r="G71" i="5"/>
  <c r="G70" i="5"/>
  <c r="H70" i="5" s="1"/>
  <c r="G69" i="5"/>
  <c r="H69" i="5" s="1"/>
  <c r="G68" i="5"/>
  <c r="G67" i="5"/>
  <c r="G65" i="5"/>
  <c r="G64" i="5"/>
  <c r="H64" i="5" s="1"/>
  <c r="G63" i="5"/>
  <c r="G62" i="5"/>
  <c r="G61" i="5"/>
  <c r="H61" i="5" s="1"/>
  <c r="G60" i="5"/>
  <c r="G59" i="5"/>
  <c r="G58" i="5"/>
  <c r="H58" i="5" s="1"/>
  <c r="G56" i="5"/>
  <c r="G54" i="5"/>
  <c r="G52" i="5"/>
  <c r="H52" i="5" s="1"/>
  <c r="G51" i="5"/>
  <c r="H51" i="5" s="1"/>
  <c r="G50" i="5"/>
  <c r="G49" i="5"/>
  <c r="G48" i="5"/>
  <c r="H48" i="5" s="1"/>
  <c r="G47" i="5"/>
  <c r="H47" i="5" s="1"/>
  <c r="H46" i="5"/>
  <c r="G45" i="5"/>
  <c r="G44" i="5"/>
  <c r="H44" i="5" s="1"/>
  <c r="G43" i="5"/>
  <c r="G42" i="5"/>
  <c r="H42" i="5" s="1"/>
  <c r="G41" i="5"/>
  <c r="G40" i="5"/>
  <c r="G39" i="5"/>
  <c r="G37" i="5"/>
  <c r="G36" i="5"/>
  <c r="H36" i="5" s="1"/>
  <c r="G35" i="5"/>
  <c r="G34" i="5"/>
  <c r="G33" i="5"/>
  <c r="G32" i="5"/>
  <c r="G31" i="5"/>
  <c r="H31" i="5" s="1"/>
  <c r="G30" i="5"/>
  <c r="H30" i="5" s="1"/>
  <c r="G29" i="5"/>
  <c r="H29" i="5" s="1"/>
  <c r="G28" i="5"/>
  <c r="H28" i="5" s="1"/>
  <c r="G26" i="5"/>
  <c r="H26" i="5" s="1"/>
  <c r="G23" i="5"/>
  <c r="H23" i="5" s="1"/>
  <c r="G22" i="5"/>
  <c r="H22" i="5" s="1"/>
  <c r="G20" i="5"/>
  <c r="H20" i="5" s="1"/>
  <c r="G19" i="5"/>
  <c r="G18" i="5"/>
  <c r="G17" i="5"/>
  <c r="G16" i="5"/>
  <c r="H16" i="5" s="1"/>
  <c r="G15" i="5"/>
  <c r="H15" i="5" s="1"/>
  <c r="G14" i="5"/>
  <c r="G13" i="5"/>
  <c r="G12" i="5"/>
  <c r="G11" i="5"/>
  <c r="H51" i="3" l="1"/>
  <c r="I51" i="3" s="1"/>
  <c r="H52" i="3"/>
  <c r="I52" i="3" s="1"/>
  <c r="H53" i="3"/>
  <c r="I53" i="3" s="1"/>
  <c r="H54" i="3"/>
  <c r="I54" i="3" s="1"/>
  <c r="H55" i="3"/>
  <c r="I55" i="3" s="1"/>
  <c r="H56" i="3"/>
  <c r="H57" i="3"/>
  <c r="H58" i="3"/>
  <c r="H59" i="3"/>
  <c r="H60" i="3"/>
  <c r="H61" i="3"/>
  <c r="H62" i="3"/>
  <c r="H63" i="3"/>
  <c r="H40" i="3" l="1"/>
  <c r="I40" i="3" s="1"/>
  <c r="H41" i="3"/>
  <c r="I41" i="3" s="1"/>
  <c r="H42" i="3"/>
  <c r="I42" i="3" s="1"/>
  <c r="H43" i="3"/>
  <c r="I43" i="3" s="1"/>
  <c r="H44" i="3"/>
  <c r="I44" i="3" s="1"/>
  <c r="H45" i="3"/>
  <c r="I45" i="3" s="1"/>
  <c r="H46" i="3"/>
  <c r="I46" i="3" s="1"/>
  <c r="H47" i="3"/>
  <c r="I47" i="3" s="1"/>
  <c r="H50" i="3"/>
  <c r="I50" i="3" s="1"/>
  <c r="H39" i="3"/>
  <c r="I39" i="3" s="1"/>
  <c r="H4" i="3" l="1"/>
  <c r="H21" i="3" l="1"/>
  <c r="I21" i="3" s="1"/>
  <c r="H20" i="3"/>
  <c r="H24" i="3"/>
  <c r="I24" i="3" s="1"/>
  <c r="H25" i="3"/>
  <c r="I25" i="3" s="1"/>
  <c r="H26" i="3"/>
  <c r="I26" i="3" s="1"/>
  <c r="H27" i="3"/>
  <c r="I27" i="3" s="1"/>
  <c r="H28" i="3"/>
  <c r="I28" i="3" s="1"/>
  <c r="H29" i="3"/>
  <c r="I29" i="3" s="1"/>
  <c r="H30" i="3"/>
  <c r="I30" i="3" s="1"/>
  <c r="H31" i="3"/>
  <c r="I31" i="3" s="1"/>
  <c r="H32" i="3"/>
  <c r="I32" i="3" s="1"/>
  <c r="H33" i="3"/>
  <c r="I33" i="3" s="1"/>
  <c r="H34" i="3"/>
  <c r="I34" i="3" s="1"/>
  <c r="H35" i="3"/>
  <c r="I35" i="3" s="1"/>
  <c r="H36" i="3"/>
  <c r="I36" i="3" s="1"/>
  <c r="H37" i="3"/>
  <c r="I37" i="3" s="1"/>
  <c r="H38" i="3"/>
  <c r="I38" i="3" s="1"/>
  <c r="H23" i="3" l="1"/>
  <c r="I23" i="3" s="1"/>
  <c r="H22" i="3"/>
  <c r="I22" i="3" s="1"/>
  <c r="I20" i="3"/>
  <c r="H19" i="3"/>
  <c r="I19" i="3" s="1"/>
  <c r="H18" i="3"/>
  <c r="I18" i="3" s="1"/>
  <c r="H17" i="3"/>
  <c r="I17" i="3" s="1"/>
  <c r="H16" i="3"/>
  <c r="I16" i="3" s="1"/>
  <c r="H15" i="3"/>
  <c r="I15" i="3" s="1"/>
  <c r="H14" i="3"/>
  <c r="I14" i="3" s="1"/>
  <c r="H13" i="3"/>
  <c r="I13" i="3" s="1"/>
  <c r="H12" i="3"/>
  <c r="I12" i="3" s="1"/>
  <c r="H11" i="3"/>
  <c r="I11" i="3" s="1"/>
  <c r="H10" i="3"/>
  <c r="I10" i="3" s="1"/>
  <c r="H9" i="3"/>
  <c r="I9" i="3" s="1"/>
  <c r="H8" i="3"/>
  <c r="I8" i="3" s="1"/>
  <c r="H7" i="3"/>
  <c r="I7" i="3" s="1"/>
  <c r="H6" i="3"/>
  <c r="I6" i="3" s="1"/>
  <c r="H5" i="3"/>
  <c r="I5" i="3" s="1"/>
  <c r="I4" i="3"/>
</calcChain>
</file>

<file path=xl/sharedStrings.xml><?xml version="1.0" encoding="utf-8"?>
<sst xmlns="http://schemas.openxmlformats.org/spreadsheetml/2006/main" count="340" uniqueCount="198">
  <si>
    <t xml:space="preserve">MARKA </t>
  </si>
  <si>
    <t xml:space="preserve">MECRA DURUMU </t>
  </si>
  <si>
    <t xml:space="preserve">NOT </t>
  </si>
  <si>
    <t xml:space="preserve">KALAN GÜN </t>
  </si>
  <si>
    <t xml:space="preserve">BORNOVA / K-1 </t>
  </si>
  <si>
    <t>KARŞIYAKA / M-6</t>
  </si>
  <si>
    <t xml:space="preserve">KONAK / M-1 </t>
  </si>
  <si>
    <t xml:space="preserve">BUCA / D-1 </t>
  </si>
  <si>
    <t>ÇİĞLİ / D-2</t>
  </si>
  <si>
    <t>KARŞIYAKA / D-6</t>
  </si>
  <si>
    <t>KARŞIYAKA / D-7</t>
  </si>
  <si>
    <t xml:space="preserve">TORBALI / D-1 </t>
  </si>
  <si>
    <t xml:space="preserve">MEGABOARD </t>
  </si>
  <si>
    <t xml:space="preserve">FOLKART MONA </t>
  </si>
  <si>
    <t xml:space="preserve">DİJİTAL LED EKRANLAR </t>
  </si>
  <si>
    <t xml:space="preserve">1 HAFTA </t>
  </si>
  <si>
    <t>GİLLETTE</t>
  </si>
  <si>
    <t xml:space="preserve">SÜRE </t>
  </si>
  <si>
    <t xml:space="preserve">BRAUN </t>
  </si>
  <si>
    <t xml:space="preserve">BAŞLANGIÇ TARİHİ </t>
  </si>
  <si>
    <t xml:space="preserve">BİTİŞ TARİHİ </t>
  </si>
  <si>
    <t xml:space="preserve">1 YIL </t>
  </si>
  <si>
    <t xml:space="preserve">SUNEXPRESS </t>
  </si>
  <si>
    <t xml:space="preserve">EKLENDİ </t>
  </si>
  <si>
    <t xml:space="preserve">3 HAFTA </t>
  </si>
  <si>
    <t>JAECOO  (LED-1)</t>
  </si>
  <si>
    <t>JAECOO  (LED-2)</t>
  </si>
  <si>
    <t xml:space="preserve">DOĞRUCAN MOBİLYA </t>
  </si>
  <si>
    <t xml:space="preserve">2 HAFTA </t>
  </si>
  <si>
    <t xml:space="preserve">2 AY </t>
  </si>
  <si>
    <t>DOĞA KOLEJİ (MAVİŞEHİR)</t>
  </si>
  <si>
    <t xml:space="preserve">1 AY </t>
  </si>
  <si>
    <t>LİFE GAYRİMENKUL (ATAKENT)</t>
  </si>
  <si>
    <t>RİNDO MOBİLYA (ATAKENT)</t>
  </si>
  <si>
    <t>İZ GAZETE (ATAKENT - MAVİŞEHİR)</t>
  </si>
  <si>
    <t xml:space="preserve">GÜNCEL TARİH </t>
  </si>
  <si>
    <t xml:space="preserve">İKEA </t>
  </si>
  <si>
    <t>RİXOS (ATAKENT - MAVİŞEHİR)</t>
  </si>
  <si>
    <t>BOYNER (ATAKENT-MAVİBAHÇE)</t>
  </si>
  <si>
    <t>ÖZDEKER İNŞAAT (ATAKENT-MAVİŞEHİR)</t>
  </si>
  <si>
    <t>KARŞIYAKA BELEDİYESİ (ATAKENT MAVİŞEHİR)</t>
  </si>
  <si>
    <t>STARBUCKS (ATAKENT-MAVİBAHÇE)</t>
  </si>
  <si>
    <t>ÖZDEKER İNŞAAT 
(ATAKENT-MAVİBAHÇE)</t>
  </si>
  <si>
    <t>KARŞIYAKA BELEDİYESİ 
(AFET GÖNÜLLÜLERİ)
(ATAKENT - MAVİBAHÇE)</t>
  </si>
  <si>
    <t>LUBERTA (ATAKENT)</t>
  </si>
  <si>
    <t>MARRİOT HOTEL (ATAKENT)</t>
  </si>
  <si>
    <t>2 HAFTA</t>
  </si>
  <si>
    <t>KARŞIYAKA BELEDİYESİ
(FOTOĞRAF YARIŞMASI İLANI) 
ATAKENT - MAVİŞEHİR</t>
  </si>
  <si>
    <t xml:space="preserve">KARŞIYAKA BELEDİYESİ (SEVGİLİLER GÜNÜ) 
ATAKENT </t>
  </si>
  <si>
    <t>FİAT GRANDE (ATAKENT)</t>
  </si>
  <si>
    <t>YVES ROCHER (ATAKENT)</t>
  </si>
  <si>
    <t>CAUDALİE (ATAKENT)</t>
  </si>
  <si>
    <t>* HER İLAN GİRİŞİ SONRASI KALİ MEDYAYA 1 HAFTA İÇİN 4.000 TL FT KESİLECEK</t>
  </si>
  <si>
    <r>
      <t xml:space="preserve">THE WRAPSTORE (ATAKENT) 
</t>
    </r>
    <r>
      <rPr>
        <b/>
        <sz val="14"/>
        <color rgb="FF00B0F0"/>
        <rFont val="Calibri (Gövde)_x0000_"/>
        <charset val="162"/>
      </rPr>
      <t>FREE</t>
    </r>
  </si>
  <si>
    <t>KARŞIYAKA BELEDİYESİ 
BU SENİN HİKAYEN 
(ATAKENT)</t>
  </si>
  <si>
    <t>3 GÜN</t>
  </si>
  <si>
    <t>VODAFONE (ATAKENT)</t>
  </si>
  <si>
    <t xml:space="preserve">ALİ HİKMET HARUN </t>
  </si>
  <si>
    <t xml:space="preserve">TARİH </t>
  </si>
  <si>
    <t xml:space="preserve">PROBLEM / YAPILAN İŞLEM </t>
  </si>
  <si>
    <t>BİLGİSAYAR KİLİTLENMİŞ</t>
  </si>
  <si>
    <t xml:space="preserve">BİLGİSAYAR KAPANMIŞ </t>
  </si>
  <si>
    <t>LED EKRAN DONDU</t>
  </si>
  <si>
    <t>JEEP</t>
  </si>
  <si>
    <t xml:space="preserve">SAMSUNG </t>
  </si>
  <si>
    <t>Free</t>
  </si>
  <si>
    <t xml:space="preserve">WOMEN </t>
  </si>
  <si>
    <t xml:space="preserve">KARŞIYAKA BELEDİYESİ KADIN YAKA </t>
  </si>
  <si>
    <t xml:space="preserve">TOGG </t>
  </si>
  <si>
    <t xml:space="preserve">EFR FUAR </t>
  </si>
  <si>
    <t>YEMEK SEPETİ (2 Video)
 (M-A)</t>
  </si>
  <si>
    <t xml:space="preserve">EKRAN </t>
  </si>
  <si>
    <t xml:space="preserve">KARŞIYAKA BELEDİYESİ 18 MART </t>
  </si>
  <si>
    <t xml:space="preserve">M - A </t>
  </si>
  <si>
    <t>A</t>
  </si>
  <si>
    <t xml:space="preserve">BAŞDAŞ MARKET </t>
  </si>
  <si>
    <t xml:space="preserve">KLİPS REKLAM </t>
  </si>
  <si>
    <t xml:space="preserve">A </t>
  </si>
  <si>
    <t>KARŞIYAKA BELEDİYESİ 
(RAZAMAN BAYRAMI)</t>
  </si>
  <si>
    <t>MAVİŞEHİR / KB02</t>
  </si>
  <si>
    <t>MAVİŞEHİR / KB03</t>
  </si>
  <si>
    <t xml:space="preserve">LENOVA </t>
  </si>
  <si>
    <t xml:space="preserve">SINAV KOLEJİ </t>
  </si>
  <si>
    <t>İZMİRDE ÇEVİRME</t>
  </si>
  <si>
    <t xml:space="preserve">VODAFONE </t>
  </si>
  <si>
    <t>ÜRÜN</t>
  </si>
  <si>
    <t>BUGÜN</t>
  </si>
  <si>
    <t>MÜŞTERİ TEMSİLCİSİ</t>
  </si>
  <si>
    <t>AÇIK HAVA TEKLİFİ</t>
  </si>
  <si>
    <t>KULEBOARD</t>
  </si>
  <si>
    <t>MAVİŞEHİR / KB01</t>
  </si>
  <si>
    <t>MAVİŞEHİR / KB04</t>
  </si>
  <si>
    <t>MAVİŞEHİR / KB05</t>
  </si>
  <si>
    <t>MAVİŞEHİR / KB06</t>
  </si>
  <si>
    <t xml:space="preserve">ŞEMİKLER / KB07 </t>
  </si>
  <si>
    <t xml:space="preserve">ÖZDEKER İNŞAAT </t>
  </si>
  <si>
    <t>ALAYBEY / KB08</t>
  </si>
  <si>
    <t xml:space="preserve">YENİGİRNE / KB09 </t>
  </si>
  <si>
    <t>MAVİŞEHİR / KB10</t>
  </si>
  <si>
    <t xml:space="preserve">ÇEŞME OTOBANI / K-3 </t>
  </si>
  <si>
    <t>ÇİĞLİ / K-1</t>
  </si>
  <si>
    <t xml:space="preserve">MEGALİGHT </t>
  </si>
  <si>
    <t xml:space="preserve">MAVİŞEHİR / MGL </t>
  </si>
  <si>
    <t xml:space="preserve">GİANTBOARD </t>
  </si>
  <si>
    <t>MAVİŞEHİR / GB01</t>
  </si>
  <si>
    <t>MAVİŞEHİR / GB02</t>
  </si>
  <si>
    <t>MAVİŞEHİR / GB08</t>
  </si>
  <si>
    <t xml:space="preserve">BOSTANLI / GB03 </t>
  </si>
  <si>
    <t>BOSTANLI / GB04</t>
  </si>
  <si>
    <t>BOSTANLI / GB05</t>
  </si>
  <si>
    <t>BOSTANLI / GB06</t>
  </si>
  <si>
    <t xml:space="preserve">MAVİŞEHİR / GB07 </t>
  </si>
  <si>
    <t xml:space="preserve">YENİGİRNE / GB09 </t>
  </si>
  <si>
    <t>MAVİŞEHİR / GB10</t>
  </si>
  <si>
    <t>MAVİŞEHİR / MB01</t>
  </si>
  <si>
    <t>MAVİŞEHİR / MB02</t>
  </si>
  <si>
    <t>ATAKENT / MB03</t>
  </si>
  <si>
    <t>BOSTANLI /MB04</t>
  </si>
  <si>
    <t xml:space="preserve">MAVİŞEHİR / MB05 </t>
  </si>
  <si>
    <t>BOSTANLI /MB06</t>
  </si>
  <si>
    <t>MAVİŞEHİR / MB07</t>
  </si>
  <si>
    <t xml:space="preserve">BORNOVA /M-1 </t>
  </si>
  <si>
    <t xml:space="preserve">DS DAMAT </t>
  </si>
  <si>
    <t>BORNOVA /M-2</t>
  </si>
  <si>
    <t>KARŞIYAKA / M-5</t>
  </si>
  <si>
    <t>KARABAĞLAR / M-1</t>
  </si>
  <si>
    <t>KONAK / M-2</t>
  </si>
  <si>
    <t xml:space="preserve">BİLLBOARD NETWORK </t>
  </si>
  <si>
    <t xml:space="preserve">20'Lİ KARŞIYAKA NETWORK </t>
  </si>
  <si>
    <t xml:space="preserve">CLP NETWORK </t>
  </si>
  <si>
    <t xml:space="preserve">25'Lİ KARŞIYAKA NETWORK </t>
  </si>
  <si>
    <t xml:space="preserve">DUVARBOARD </t>
  </si>
  <si>
    <t>BAYRAKLI / D-3</t>
  </si>
  <si>
    <t>BAYRAKLI / D-4</t>
  </si>
  <si>
    <t>BAYRAKLI / D-6 (A-C)</t>
  </si>
  <si>
    <t xml:space="preserve">BORNOVA / D-3 </t>
  </si>
  <si>
    <t>ÇİĞLİ - ATAŞEHİR / D-4</t>
  </si>
  <si>
    <t>KARŞIYAKA / D-2 (SOL)</t>
  </si>
  <si>
    <t>KARŞIYAKA / D-2 (SAĞ)</t>
  </si>
  <si>
    <t>KARŞIYAKA / D-3</t>
  </si>
  <si>
    <t>KARŞIYAKA / D-5</t>
  </si>
  <si>
    <t>KARŞIYAKA / D-8</t>
  </si>
  <si>
    <t>KONAK / D- 1</t>
  </si>
  <si>
    <t xml:space="preserve">MENEMEN / D-1 </t>
  </si>
  <si>
    <t xml:space="preserve">LED EKRANLAR </t>
  </si>
  <si>
    <t xml:space="preserve">BALÇOVA / L-1 </t>
  </si>
  <si>
    <t>BALÇOVA / L-3</t>
  </si>
  <si>
    <t xml:space="preserve">BORNOVA / L-1 </t>
  </si>
  <si>
    <t>BORNOVA / L-2</t>
  </si>
  <si>
    <t>BORNOVA / L-5</t>
  </si>
  <si>
    <t xml:space="preserve">ÇİĞLİ / L-2 </t>
  </si>
  <si>
    <t xml:space="preserve">KARŞIYAKA / L-4 </t>
  </si>
  <si>
    <t>KARŞIYAKA / L-5</t>
  </si>
  <si>
    <t xml:space="preserve">MENEMEN / L-1 </t>
  </si>
  <si>
    <t xml:space="preserve">NARLIDERE / L-1 </t>
  </si>
  <si>
    <t xml:space="preserve">KUZEY OTOBANI </t>
  </si>
  <si>
    <t xml:space="preserve">MENEMEN ULUKENT ÇEVREYOLU / K-1 </t>
  </si>
  <si>
    <t>YENİFOÇA / K-M-1</t>
  </si>
  <si>
    <t>YENİFOÇA / K-M-2</t>
  </si>
  <si>
    <t>YENİFOÇA / K-M-3</t>
  </si>
  <si>
    <t>ALİAĞA / K-M-1</t>
  </si>
  <si>
    <t>ALİAĞA / K-M-2</t>
  </si>
  <si>
    <t>ALİAĞA / K-M-3</t>
  </si>
  <si>
    <t>OTOYOL / K-M-1</t>
  </si>
  <si>
    <t>OTOYOL / K-M-2</t>
  </si>
  <si>
    <t>OTOYOL / K-M-3</t>
  </si>
  <si>
    <t>OTOYOL / K-M-4</t>
  </si>
  <si>
    <t>OTOYOL / K-M-5</t>
  </si>
  <si>
    <t>OTOYOL / K-M-6</t>
  </si>
  <si>
    <t>OTOYOL / K-M-7</t>
  </si>
  <si>
    <t xml:space="preserve">CİHANGİR ÇINAR </t>
  </si>
  <si>
    <t>CİHANGİR ÇINAR</t>
  </si>
  <si>
    <t xml:space="preserve">CRYSTAL MUSE İCE </t>
  </si>
  <si>
    <t>KARŞIYAKA BELEDİYESİ
(KARŞIYAKA - ESKİŞEHİRSPOR)</t>
  </si>
  <si>
    <t xml:space="preserve">İYİ FİNANS </t>
  </si>
  <si>
    <t xml:space="preserve">ELİDOR </t>
  </si>
  <si>
    <t>M</t>
  </si>
  <si>
    <t>ÇEŞME OTOBANI / K-2</t>
  </si>
  <si>
    <t xml:space="preserve">FATURA </t>
  </si>
  <si>
    <t>M-A-T</t>
  </si>
  <si>
    <t>4 HAFTA</t>
  </si>
  <si>
    <r>
      <t xml:space="preserve">EKRAN
</t>
    </r>
    <r>
      <rPr>
        <u/>
        <sz val="15"/>
        <color rgb="FF00B0F0"/>
        <rFont val="Calibri (Gövde)_x0000_"/>
        <charset val="162"/>
      </rPr>
      <t xml:space="preserve">MAVİBAHÇE
ATAKENT
TAYPARK  </t>
    </r>
  </si>
  <si>
    <t>T</t>
  </si>
  <si>
    <t xml:space="preserve">PADEL SPOR </t>
  </si>
  <si>
    <t xml:space="preserve">AYŞE ÖZTEKİN </t>
  </si>
  <si>
    <t xml:space="preserve">M </t>
  </si>
  <si>
    <t xml:space="preserve">YAYINA ALINACAK </t>
  </si>
  <si>
    <t>* Ayşe Öztekin Müş.</t>
  </si>
  <si>
    <t>KARŞIYAKA BELEDİYESİ 
(TEKSTİL GÜNÜ)</t>
  </si>
  <si>
    <t xml:space="preserve">ÜCRETSİZ </t>
  </si>
  <si>
    <t xml:space="preserve">OKYANUS KOLEJİ </t>
  </si>
  <si>
    <t xml:space="preserve">ÖZDEKER İNŞAAT / OKYANUS KOLEJİ  </t>
  </si>
  <si>
    <t xml:space="preserve">CİHANGİR ÇINAR
ALİ HİKMET HARUN  </t>
  </si>
  <si>
    <t>30.08.2026
15 MAYIS 2026</t>
  </si>
  <si>
    <t xml:space="preserve">SINAV KOLEJİ 
OKYANUS KOLEJİ </t>
  </si>
  <si>
    <t>10.04.2026 
15 MAYIS 2026</t>
  </si>
  <si>
    <t xml:space="preserve">3K DAIKIN KLİMA </t>
  </si>
  <si>
    <t xml:space="preserve">* MAYIS 15 DEN SONRA ÖZDEKER TEKRAR ALINACAK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</si>
</sst>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800]dddd\,\ mmmm\ dd\,\ yyyy"/>
    <numFmt numFmtId="165" formatCode="[$-41F]d\ mmmm\ yyyy;@"/>
    <numFmt numFmtId="166" formatCode="[$-41F]mmmm\ yy;@"/>
    <numFmt numFmtId="167" formatCode="&quot;₺&quot;#,##0.00"/>
  </numFmts>
  <fonts count="28">
    <font>
      <sz val="12"/>
      <color theme="1"/>
      <name val="Calibri"/>
      <family val="2"/>
      <charset val="162"/>
      <scheme val="minor"/>
    </font>
    <font>
      <b/>
      <sz val="15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30"/>
      <color theme="0"/>
      <name val="Calibri"/>
      <family val="2"/>
      <scheme val="minor"/>
    </font>
    <font>
      <sz val="12"/>
      <color rgb="FFFF0000"/>
      <name val="Calibri"/>
      <family val="2"/>
      <charset val="162"/>
      <scheme val="minor"/>
    </font>
    <font>
      <b/>
      <sz val="15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rgb="FF00B050"/>
      <name val="Calibri"/>
      <family val="2"/>
      <charset val="162"/>
      <scheme val="minor"/>
    </font>
    <font>
      <b/>
      <sz val="14"/>
      <color rgb="FF00B0F0"/>
      <name val="Calibri (Gövde)_x0000_"/>
      <charset val="162"/>
    </font>
    <font>
      <sz val="15"/>
      <color theme="1"/>
      <name val="Calibri"/>
      <family val="2"/>
      <charset val="162"/>
      <scheme val="minor"/>
    </font>
    <font>
      <b/>
      <u/>
      <sz val="15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2"/>
      <color theme="0"/>
      <name val="Calibri"/>
      <family val="2"/>
      <charset val="162"/>
      <scheme val="minor"/>
    </font>
    <font>
      <b/>
      <sz val="12"/>
      <color theme="0"/>
      <name val="Arial"/>
      <family val="2"/>
    </font>
    <font>
      <b/>
      <sz val="14"/>
      <color theme="0"/>
      <name val="Calibri"/>
      <family val="2"/>
      <scheme val="minor"/>
    </font>
    <font>
      <sz val="14"/>
      <color rgb="FF00B050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5"/>
      <color rgb="FF00B0F0"/>
      <name val="Calibri (Gövde)_x0000_"/>
      <charset val="162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2" borderId="0" xfId="0" applyFill="1"/>
    <xf numFmtId="165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1" fillId="2" borderId="0" xfId="0" applyFont="1" applyFill="1"/>
    <xf numFmtId="0" fontId="1" fillId="5" borderId="1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 wrapText="1"/>
    </xf>
    <xf numFmtId="17" fontId="11" fillId="5" borderId="1" xfId="0" applyNumberFormat="1" applyFont="1" applyFill="1" applyBorder="1" applyAlignment="1">
      <alignment horizontal="center"/>
    </xf>
    <xf numFmtId="165" fontId="5" fillId="2" borderId="1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 wrapText="1"/>
    </xf>
    <xf numFmtId="166" fontId="12" fillId="2" borderId="1" xfId="0" applyNumberFormat="1" applyFont="1" applyFill="1" applyBorder="1" applyAlignment="1">
      <alignment horizontal="center" vertical="center" textRotation="90"/>
    </xf>
    <xf numFmtId="0" fontId="1" fillId="5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165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Border="1"/>
    <xf numFmtId="0" fontId="9" fillId="2" borderId="0" xfId="0" applyFont="1" applyFill="1" applyBorder="1" applyAlignment="1">
      <alignment vertical="center"/>
    </xf>
    <xf numFmtId="0" fontId="0" fillId="2" borderId="0" xfId="0" applyFill="1" applyBorder="1" applyAlignment="1">
      <alignment horizontal="center" vertical="center"/>
    </xf>
    <xf numFmtId="0" fontId="11" fillId="2" borderId="0" xfId="0" applyFont="1" applyFill="1" applyBorder="1"/>
    <xf numFmtId="164" fontId="1" fillId="5" borderId="2" xfId="0" applyNumberFormat="1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14" fontId="8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5" fillId="2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164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164" fontId="6" fillId="2" borderId="1" xfId="0" applyNumberFormat="1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/>
    </xf>
    <xf numFmtId="0" fontId="10" fillId="2" borderId="0" xfId="0" applyFont="1" applyFill="1" applyAlignment="1"/>
    <xf numFmtId="0" fontId="0" fillId="0" borderId="0" xfId="0" applyAlignment="1">
      <alignment wrapText="1"/>
    </xf>
    <xf numFmtId="165" fontId="6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5" fillId="0" borderId="0" xfId="0" applyFont="1"/>
    <xf numFmtId="0" fontId="15" fillId="0" borderId="0" xfId="0" applyFont="1" applyAlignment="1">
      <alignment horizontal="center"/>
    </xf>
    <xf numFmtId="0" fontId="15" fillId="0" borderId="1" xfId="0" applyFont="1" applyBorder="1" applyAlignment="1">
      <alignment horizontal="center"/>
    </xf>
    <xf numFmtId="164" fontId="15" fillId="0" borderId="1" xfId="0" applyNumberFormat="1" applyFont="1" applyBorder="1" applyAlignment="1">
      <alignment horizontal="center"/>
    </xf>
    <xf numFmtId="0" fontId="16" fillId="5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" fillId="6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7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165" fontId="6" fillId="2" borderId="1" xfId="0" applyNumberFormat="1" applyFont="1" applyFill="1" applyBorder="1" applyAlignment="1">
      <alignment horizontal="center" vertical="center"/>
    </xf>
    <xf numFmtId="165" fontId="6" fillId="5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/>
    <xf numFmtId="0" fontId="18" fillId="2" borderId="0" xfId="0" applyFont="1" applyFill="1" applyAlignment="1">
      <alignment vertical="center"/>
    </xf>
    <xf numFmtId="0" fontId="20" fillId="6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/>
    <xf numFmtId="0" fontId="4" fillId="6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65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165" fontId="4" fillId="6" borderId="0" xfId="0" applyNumberFormat="1" applyFont="1" applyFill="1" applyAlignment="1">
      <alignment horizontal="center"/>
    </xf>
    <xf numFmtId="14" fontId="4" fillId="6" borderId="0" xfId="0" applyNumberFormat="1" applyFont="1" applyFill="1" applyAlignment="1">
      <alignment horizontal="center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7" fontId="0" fillId="0" borderId="1" xfId="0" applyNumberFormat="1" applyBorder="1" applyAlignment="1">
      <alignment horizontal="center"/>
    </xf>
    <xf numFmtId="167" fontId="22" fillId="2" borderId="2" xfId="0" applyNumberFormat="1" applyFont="1" applyFill="1" applyBorder="1" applyAlignment="1">
      <alignment horizontal="center" vertical="center" wrapText="1"/>
    </xf>
    <xf numFmtId="167" fontId="22" fillId="5" borderId="2" xfId="0" applyNumberFormat="1" applyFont="1" applyFill="1" applyBorder="1" applyAlignment="1">
      <alignment horizontal="center" vertical="center" wrapText="1"/>
    </xf>
    <xf numFmtId="167" fontId="23" fillId="2" borderId="2" xfId="0" applyNumberFormat="1" applyFont="1" applyFill="1" applyBorder="1" applyAlignment="1">
      <alignment horizontal="center" vertical="center"/>
    </xf>
    <xf numFmtId="167" fontId="24" fillId="2" borderId="2" xfId="0" applyNumberFormat="1" applyFont="1" applyFill="1" applyBorder="1" applyAlignment="1">
      <alignment horizontal="center" vertical="center"/>
    </xf>
    <xf numFmtId="167" fontId="23" fillId="0" borderId="1" xfId="0" applyNumberFormat="1" applyFont="1" applyBorder="1" applyAlignment="1">
      <alignment horizontal="center"/>
    </xf>
    <xf numFmtId="167" fontId="23" fillId="2" borderId="1" xfId="0" applyNumberFormat="1" applyFont="1" applyFill="1" applyBorder="1" applyAlignment="1">
      <alignment horizontal="center"/>
    </xf>
    <xf numFmtId="14" fontId="25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wrapText="1"/>
    </xf>
    <xf numFmtId="0" fontId="24" fillId="8" borderId="1" xfId="0" applyFont="1" applyFill="1" applyBorder="1" applyAlignment="1">
      <alignment vertical="center"/>
    </xf>
    <xf numFmtId="164" fontId="0" fillId="8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16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165" fontId="4" fillId="0" borderId="0" xfId="0" applyNumberFormat="1" applyFont="1" applyAlignment="1">
      <alignment horizontal="center" vertical="center" wrapText="1"/>
    </xf>
    <xf numFmtId="165" fontId="4" fillId="0" borderId="0" xfId="0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19" fillId="7" borderId="0" xfId="0" applyFont="1" applyFill="1" applyAlignment="1">
      <alignment horizontal="center" vertical="center"/>
    </xf>
    <xf numFmtId="166" fontId="12" fillId="4" borderId="1" xfId="0" applyNumberFormat="1" applyFont="1" applyFill="1" applyBorder="1" applyAlignment="1">
      <alignment horizontal="center" vertical="center" textRotation="90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166" fontId="12" fillId="4" borderId="3" xfId="0" applyNumberFormat="1" applyFont="1" applyFill="1" applyBorder="1" applyAlignment="1">
      <alignment horizontal="center" vertical="center" textRotation="90"/>
    </xf>
    <xf numFmtId="166" fontId="12" fillId="4" borderId="4" xfId="0" applyNumberFormat="1" applyFont="1" applyFill="1" applyBorder="1" applyAlignment="1">
      <alignment horizontal="center" vertical="center" textRotation="90"/>
    </xf>
    <xf numFmtId="167" fontId="23" fillId="2" borderId="3" xfId="0" applyNumberFormat="1" applyFont="1" applyFill="1" applyBorder="1" applyAlignment="1">
      <alignment horizontal="center" vertical="center"/>
    </xf>
    <xf numFmtId="167" fontId="23" fillId="2" borderId="4" xfId="0" applyNumberFormat="1" applyFont="1" applyFill="1" applyBorder="1" applyAlignment="1">
      <alignment horizontal="center" vertical="center"/>
    </xf>
    <xf numFmtId="167" fontId="23" fillId="2" borderId="7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65" fontId="4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254946</xdr:colOff>
      <xdr:row>1</xdr:row>
      <xdr:rowOff>229895</xdr:rowOff>
    </xdr:from>
    <xdr:to>
      <xdr:col>1</xdr:col>
      <xdr:colOff>1525672</xdr:colOff>
      <xdr:row>6</xdr:row>
      <xdr:rowOff>57174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AE97ADF0-4E0A-3147-B511-1F5C8E4F2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946" y="534695"/>
          <a:ext cx="2096226" cy="9143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3ADE-E274-CB4E-B3DF-5CD9FB0CD10A}">
  <dimension ref="A1:R100"/>
  <sheetViews>
    <sheetView tabSelected="1" zoomScale="125" zoomScaleNormal="125" workbookViewId="0">
      <pane ySplit="1" topLeftCell="A2" activePane="bottomLeft" state="frozen"/>
      <selection pane="bottomLeft" activeCell="J20" sqref="J20"/>
    </sheetView>
  </sheetViews>
  <sheetFormatPr baseColWidth="10" defaultRowHeight="24" customHeight="1"/>
  <cols>
    <col min="2" max="2" width="40.1640625" style="60" customWidth="1"/>
    <col min="3" max="3" width="26.1640625" style="60" customWidth="1"/>
    <col min="4" max="4" width="26.1640625" style="93" customWidth="1"/>
    <col min="5" max="6" width="26.1640625" style="60" customWidth="1"/>
    <col min="7" max="7" width="21.1640625" style="60" customWidth="1"/>
    <col min="8" max="8" width="20.6640625" style="60" customWidth="1"/>
    <col min="9" max="9" width="26.1640625" style="60" customWidth="1"/>
    <col min="10" max="10" width="26.1640625" style="93" customWidth="1"/>
    <col min="11" max="11" width="26.1640625" style="60" customWidth="1"/>
    <col min="12" max="12" width="10.83203125" style="60"/>
  </cols>
  <sheetData>
    <row r="1" spans="1:18" s="73" customFormat="1" ht="24" customHeight="1">
      <c r="B1" s="74" t="s">
        <v>85</v>
      </c>
      <c r="C1" s="74" t="s">
        <v>0</v>
      </c>
      <c r="D1" s="74" t="s">
        <v>19</v>
      </c>
      <c r="E1" s="74" t="s">
        <v>20</v>
      </c>
      <c r="F1" s="74" t="s">
        <v>1</v>
      </c>
      <c r="G1" s="74" t="s">
        <v>86</v>
      </c>
      <c r="H1" s="74" t="s">
        <v>3</v>
      </c>
      <c r="I1" s="74" t="s">
        <v>87</v>
      </c>
      <c r="J1" s="74" t="s">
        <v>2</v>
      </c>
    </row>
    <row r="2" spans="1:18" ht="24" customHeight="1">
      <c r="A2" s="103"/>
      <c r="B2" s="103"/>
      <c r="C2" s="103"/>
      <c r="D2" s="103"/>
      <c r="E2" s="103"/>
      <c r="F2" s="103"/>
      <c r="G2" s="103"/>
      <c r="H2" s="103"/>
      <c r="I2" s="103"/>
      <c r="J2" s="103"/>
      <c r="M2" s="61"/>
      <c r="N2" s="61"/>
      <c r="O2" s="61"/>
      <c r="P2" s="61"/>
      <c r="Q2" s="61"/>
      <c r="R2" s="61"/>
    </row>
    <row r="3" spans="1:18" ht="24" customHeight="1">
      <c r="A3" s="103"/>
      <c r="B3" s="103"/>
      <c r="C3" s="103"/>
      <c r="D3" s="103"/>
      <c r="E3" s="103"/>
      <c r="F3" s="103"/>
      <c r="G3" s="103"/>
      <c r="H3" s="103"/>
      <c r="I3" s="103"/>
      <c r="J3" s="103"/>
      <c r="M3" s="61"/>
      <c r="N3" s="61"/>
      <c r="O3" s="61"/>
      <c r="P3" s="61"/>
      <c r="Q3" s="61"/>
      <c r="R3" s="61"/>
    </row>
    <row r="4" spans="1:18" ht="13" customHeight="1">
      <c r="A4" s="103"/>
      <c r="B4" s="103"/>
      <c r="C4" s="103"/>
      <c r="D4" s="103"/>
      <c r="E4" s="103"/>
      <c r="F4" s="103"/>
      <c r="G4" s="103"/>
      <c r="H4" s="103"/>
      <c r="I4" s="103"/>
      <c r="J4" s="103"/>
      <c r="M4" s="61"/>
      <c r="N4" s="61"/>
      <c r="O4" s="61"/>
      <c r="P4" s="61"/>
      <c r="Q4" s="61"/>
      <c r="R4" s="61"/>
    </row>
    <row r="5" spans="1:18" ht="1" customHeight="1">
      <c r="A5" s="103"/>
      <c r="B5" s="103"/>
      <c r="C5" s="103"/>
      <c r="D5" s="103"/>
      <c r="E5" s="103"/>
      <c r="F5" s="103"/>
      <c r="G5" s="103"/>
      <c r="H5" s="103"/>
      <c r="I5" s="103"/>
      <c r="J5" s="103"/>
      <c r="M5" s="61"/>
      <c r="N5" s="61"/>
      <c r="O5" s="61"/>
      <c r="P5" s="61"/>
      <c r="Q5" s="61"/>
      <c r="R5" s="61"/>
    </row>
    <row r="6" spans="1:18" ht="24" customHeight="1">
      <c r="A6" s="103"/>
      <c r="B6" s="103"/>
      <c r="C6" s="103"/>
      <c r="D6" s="103"/>
      <c r="E6" s="103"/>
      <c r="F6" s="103"/>
      <c r="G6" s="103"/>
      <c r="H6" s="103"/>
      <c r="I6" s="103"/>
      <c r="J6" s="103"/>
    </row>
    <row r="7" spans="1:18" ht="24" customHeight="1">
      <c r="A7" s="104" t="s">
        <v>88</v>
      </c>
      <c r="B7" s="104"/>
      <c r="C7" s="104"/>
      <c r="D7" s="104"/>
      <c r="E7" s="104"/>
      <c r="F7" s="104"/>
      <c r="G7" s="104"/>
      <c r="H7" s="104"/>
      <c r="I7" s="104"/>
      <c r="J7" s="104"/>
      <c r="K7" s="62"/>
      <c r="L7" s="62"/>
    </row>
    <row r="8" spans="1:18" s="64" customFormat="1" ht="24" customHeight="1">
      <c r="B8" s="65" t="s">
        <v>85</v>
      </c>
      <c r="C8" s="65" t="s">
        <v>0</v>
      </c>
      <c r="D8" s="65" t="s">
        <v>19</v>
      </c>
      <c r="E8" s="65" t="s">
        <v>20</v>
      </c>
      <c r="F8" s="65" t="s">
        <v>1</v>
      </c>
      <c r="G8" s="65" t="s">
        <v>86</v>
      </c>
      <c r="H8" s="65" t="s">
        <v>3</v>
      </c>
      <c r="I8" s="65" t="s">
        <v>87</v>
      </c>
      <c r="J8" s="65" t="s">
        <v>2</v>
      </c>
    </row>
    <row r="9" spans="1:18" s="66" customFormat="1" ht="24" customHeight="1">
      <c r="B9" s="63" t="s">
        <v>89</v>
      </c>
      <c r="C9" s="67"/>
      <c r="D9" s="67"/>
      <c r="E9" s="67"/>
      <c r="F9" s="67"/>
      <c r="G9" s="67"/>
      <c r="H9" s="67"/>
      <c r="I9" s="67"/>
      <c r="J9" s="67"/>
      <c r="K9" s="68"/>
      <c r="L9" s="68"/>
    </row>
    <row r="10" spans="1:18" s="66" customFormat="1" ht="24" customHeight="1">
      <c r="B10" s="68" t="s">
        <v>90</v>
      </c>
      <c r="C10" s="68" t="s">
        <v>190</v>
      </c>
      <c r="D10" s="94">
        <v>46127</v>
      </c>
      <c r="E10" s="94">
        <v>46157</v>
      </c>
      <c r="F10" s="75"/>
      <c r="G10" s="70">
        <f ca="1">TODAY()</f>
        <v>46118</v>
      </c>
      <c r="H10" s="76">
        <f t="shared" ref="H10" ca="1" si="0">_xlfn.DAYS(E10,G10)</f>
        <v>39</v>
      </c>
      <c r="I10" s="68" t="s">
        <v>57</v>
      </c>
      <c r="J10" s="68"/>
      <c r="K10" s="68"/>
      <c r="L10" s="68"/>
    </row>
    <row r="11" spans="1:18" s="66" customFormat="1" ht="24" customHeight="1">
      <c r="B11" s="68" t="s">
        <v>79</v>
      </c>
      <c r="C11" s="68"/>
      <c r="D11" s="69"/>
      <c r="E11" s="69"/>
      <c r="F11" s="75"/>
      <c r="G11" s="70">
        <f t="shared" ref="G11:G77" ca="1" si="1">TODAY()</f>
        <v>46118</v>
      </c>
      <c r="H11" s="76"/>
      <c r="I11" s="68"/>
      <c r="J11" s="68"/>
      <c r="K11" s="68"/>
      <c r="L11" s="68"/>
    </row>
    <row r="12" spans="1:18" s="66" customFormat="1" ht="24" customHeight="1">
      <c r="B12" s="68" t="s">
        <v>80</v>
      </c>
      <c r="C12" s="68"/>
      <c r="D12" s="69"/>
      <c r="E12" s="69"/>
      <c r="F12" s="75"/>
      <c r="G12" s="70">
        <f t="shared" ca="1" si="1"/>
        <v>46118</v>
      </c>
      <c r="H12" s="76"/>
      <c r="I12" s="68"/>
      <c r="J12" s="68"/>
      <c r="K12" s="68"/>
      <c r="L12" s="68"/>
    </row>
    <row r="13" spans="1:18" s="66" customFormat="1" ht="24" customHeight="1">
      <c r="B13" s="68" t="s">
        <v>91</v>
      </c>
      <c r="C13" s="68"/>
      <c r="D13" s="69"/>
      <c r="E13" s="69"/>
      <c r="F13" s="75"/>
      <c r="G13" s="70">
        <f t="shared" ca="1" si="1"/>
        <v>46118</v>
      </c>
      <c r="H13" s="76"/>
      <c r="I13" s="68"/>
      <c r="J13" s="68"/>
      <c r="K13" s="68"/>
      <c r="L13" s="68"/>
    </row>
    <row r="14" spans="1:18" s="66" customFormat="1" ht="24" customHeight="1">
      <c r="B14" s="68" t="s">
        <v>92</v>
      </c>
      <c r="C14" s="68"/>
      <c r="D14" s="69"/>
      <c r="E14" s="69"/>
      <c r="F14" s="75"/>
      <c r="G14" s="70">
        <f t="shared" ca="1" si="1"/>
        <v>46118</v>
      </c>
      <c r="H14" s="76"/>
      <c r="I14" s="68"/>
      <c r="J14" s="68"/>
      <c r="K14" s="68"/>
      <c r="L14" s="68"/>
    </row>
    <row r="15" spans="1:18" s="66" customFormat="1" ht="24" customHeight="1">
      <c r="B15" s="68" t="s">
        <v>93</v>
      </c>
      <c r="C15" s="68" t="s">
        <v>190</v>
      </c>
      <c r="D15" s="69">
        <v>46127</v>
      </c>
      <c r="E15" s="69">
        <v>46157</v>
      </c>
      <c r="F15" s="75"/>
      <c r="G15" s="70">
        <f t="shared" ca="1" si="1"/>
        <v>46118</v>
      </c>
      <c r="H15" s="76">
        <f t="shared" ref="H15" ca="1" si="2">_xlfn.DAYS(E15,G15)</f>
        <v>39</v>
      </c>
      <c r="I15" s="68" t="s">
        <v>57</v>
      </c>
      <c r="J15" s="68"/>
      <c r="K15" s="68"/>
      <c r="L15" s="68"/>
    </row>
    <row r="16" spans="1:18" s="66" customFormat="1" ht="24" customHeight="1">
      <c r="B16" s="68" t="s">
        <v>94</v>
      </c>
      <c r="C16" s="68" t="s">
        <v>95</v>
      </c>
      <c r="D16" s="69"/>
      <c r="E16" s="69">
        <v>46264</v>
      </c>
      <c r="F16" s="76"/>
      <c r="G16" s="70">
        <f t="shared" ca="1" si="1"/>
        <v>46118</v>
      </c>
      <c r="H16" s="76">
        <f t="shared" ref="H16:H74" ca="1" si="3">_xlfn.DAYS(E16,G16)</f>
        <v>146</v>
      </c>
      <c r="I16" s="68" t="s">
        <v>170</v>
      </c>
      <c r="J16" s="68"/>
      <c r="K16" s="68"/>
      <c r="L16" s="68"/>
    </row>
    <row r="17" spans="2:12" s="66" customFormat="1" ht="24" customHeight="1">
      <c r="B17" s="68" t="s">
        <v>96</v>
      </c>
      <c r="C17" s="68"/>
      <c r="D17" s="69"/>
      <c r="E17" s="69"/>
      <c r="F17" s="75"/>
      <c r="G17" s="70">
        <f t="shared" ca="1" si="1"/>
        <v>46118</v>
      </c>
      <c r="H17" s="76"/>
      <c r="I17" s="68"/>
      <c r="J17" s="68"/>
      <c r="K17" s="68"/>
      <c r="L17" s="68"/>
    </row>
    <row r="18" spans="2:12" s="66" customFormat="1" ht="24" customHeight="1">
      <c r="B18" s="68" t="s">
        <v>97</v>
      </c>
      <c r="C18" s="68"/>
      <c r="D18" s="69"/>
      <c r="E18" s="69"/>
      <c r="F18" s="68"/>
      <c r="G18" s="70">
        <f t="shared" ca="1" si="1"/>
        <v>46118</v>
      </c>
      <c r="H18" s="76"/>
      <c r="I18" s="68"/>
      <c r="J18" s="68"/>
      <c r="K18" s="68"/>
      <c r="L18" s="68"/>
    </row>
    <row r="19" spans="2:12" s="66" customFormat="1" ht="24" customHeight="1">
      <c r="B19" s="68" t="s">
        <v>98</v>
      </c>
      <c r="C19" s="68"/>
      <c r="D19" s="69"/>
      <c r="E19" s="69"/>
      <c r="F19" s="75"/>
      <c r="G19" s="70">
        <f t="shared" ca="1" si="1"/>
        <v>46118</v>
      </c>
      <c r="H19" s="76"/>
      <c r="I19" s="68"/>
      <c r="J19" s="68"/>
      <c r="K19" s="68"/>
      <c r="L19" s="68"/>
    </row>
    <row r="20" spans="2:12" s="100" customFormat="1" ht="55" customHeight="1">
      <c r="B20" s="64" t="s">
        <v>4</v>
      </c>
      <c r="C20" s="96" t="s">
        <v>191</v>
      </c>
      <c r="D20" s="97">
        <v>46127</v>
      </c>
      <c r="E20" s="101" t="s">
        <v>193</v>
      </c>
      <c r="F20" s="64"/>
      <c r="G20" s="98">
        <f t="shared" ca="1" si="1"/>
        <v>46118</v>
      </c>
      <c r="H20" s="65" t="e">
        <f t="shared" ca="1" si="3"/>
        <v>#VALUE!</v>
      </c>
      <c r="I20" s="96" t="s">
        <v>192</v>
      </c>
      <c r="J20" s="99" t="s">
        <v>197</v>
      </c>
      <c r="K20" s="64"/>
      <c r="L20" s="64"/>
    </row>
    <row r="21" spans="2:12" s="66" customFormat="1" ht="24" customHeight="1">
      <c r="B21" s="68" t="s">
        <v>177</v>
      </c>
      <c r="C21" s="68"/>
      <c r="D21" s="69"/>
      <c r="E21" s="69"/>
      <c r="F21" s="68"/>
      <c r="G21" s="70">
        <f t="shared" ca="1" si="1"/>
        <v>46118</v>
      </c>
      <c r="H21" s="76"/>
      <c r="I21" s="68"/>
      <c r="J21" s="68"/>
      <c r="K21" s="68"/>
      <c r="L21" s="68"/>
    </row>
    <row r="22" spans="2:12" s="66" customFormat="1" ht="24" customHeight="1">
      <c r="B22" s="68" t="s">
        <v>99</v>
      </c>
      <c r="C22" s="68" t="s">
        <v>172</v>
      </c>
      <c r="D22" s="69"/>
      <c r="E22" s="69">
        <v>46142</v>
      </c>
      <c r="F22" s="68"/>
      <c r="G22" s="70">
        <f t="shared" ca="1" si="1"/>
        <v>46118</v>
      </c>
      <c r="H22" s="76">
        <f t="shared" ca="1" si="3"/>
        <v>24</v>
      </c>
      <c r="I22" s="68" t="s">
        <v>170</v>
      </c>
      <c r="J22" s="68"/>
      <c r="K22" s="68"/>
      <c r="L22" s="68"/>
    </row>
    <row r="23" spans="2:12" s="66" customFormat="1" ht="24" customHeight="1">
      <c r="B23" s="68" t="s">
        <v>100</v>
      </c>
      <c r="C23" s="68" t="s">
        <v>95</v>
      </c>
      <c r="D23" s="69"/>
      <c r="E23" s="69">
        <v>46264</v>
      </c>
      <c r="F23" s="68"/>
      <c r="G23" s="70">
        <f t="shared" ca="1" si="1"/>
        <v>46118</v>
      </c>
      <c r="H23" s="76">
        <f t="shared" ca="1" si="3"/>
        <v>146</v>
      </c>
      <c r="I23" s="68" t="s">
        <v>170</v>
      </c>
      <c r="J23" s="68"/>
      <c r="K23" s="68"/>
      <c r="L23" s="68"/>
    </row>
    <row r="24" spans="2:12" s="66" customFormat="1" ht="24" customHeight="1">
      <c r="B24" s="63" t="s">
        <v>101</v>
      </c>
      <c r="C24" s="67"/>
      <c r="D24" s="71"/>
      <c r="E24" s="71"/>
      <c r="F24" s="67"/>
      <c r="G24" s="72"/>
      <c r="H24" s="67"/>
      <c r="I24" s="67"/>
      <c r="J24" s="67"/>
      <c r="K24" s="68"/>
      <c r="L24" s="68"/>
    </row>
    <row r="25" spans="2:12" s="66" customFormat="1" ht="24" customHeight="1">
      <c r="B25" s="113" t="s">
        <v>102</v>
      </c>
      <c r="C25" s="114" t="s">
        <v>183</v>
      </c>
      <c r="D25" s="115">
        <v>46121</v>
      </c>
      <c r="E25" s="115">
        <v>46135</v>
      </c>
      <c r="F25" s="114"/>
      <c r="G25" s="70">
        <f t="shared" ca="1" si="1"/>
        <v>46118</v>
      </c>
      <c r="H25" s="76">
        <f ca="1">_xlfn.DAYS(E25,G25)</f>
        <v>17</v>
      </c>
      <c r="I25" s="114" t="s">
        <v>184</v>
      </c>
      <c r="J25" s="114"/>
      <c r="K25" s="68"/>
      <c r="L25" s="68"/>
    </row>
    <row r="26" spans="2:12" s="66" customFormat="1" ht="24" customHeight="1">
      <c r="B26" s="113" t="s">
        <v>102</v>
      </c>
      <c r="C26" s="113" t="s">
        <v>196</v>
      </c>
      <c r="D26" s="117">
        <v>46135</v>
      </c>
      <c r="E26" s="117">
        <v>46203</v>
      </c>
      <c r="F26" s="118"/>
      <c r="G26" s="119">
        <f t="shared" ca="1" si="1"/>
        <v>46118</v>
      </c>
      <c r="H26" s="116">
        <f ca="1">_xlfn.DAYS(E26,G26)</f>
        <v>85</v>
      </c>
      <c r="I26" s="113" t="s">
        <v>184</v>
      </c>
      <c r="J26" s="113"/>
      <c r="K26" s="68"/>
      <c r="L26" s="68"/>
    </row>
    <row r="27" spans="2:12" s="66" customFormat="1" ht="24" customHeight="1">
      <c r="B27" s="63" t="s">
        <v>103</v>
      </c>
      <c r="C27" s="67"/>
      <c r="D27" s="71"/>
      <c r="E27" s="71"/>
      <c r="F27" s="67"/>
      <c r="G27" s="72"/>
      <c r="H27" s="67"/>
      <c r="I27" s="67"/>
      <c r="J27" s="67"/>
      <c r="K27" s="68"/>
      <c r="L27" s="68"/>
    </row>
    <row r="28" spans="2:12" s="66" customFormat="1" ht="44" customHeight="1">
      <c r="B28" s="68" t="s">
        <v>104</v>
      </c>
      <c r="C28" s="95" t="s">
        <v>194</v>
      </c>
      <c r="D28" s="69">
        <v>46127</v>
      </c>
      <c r="E28" s="102" t="s">
        <v>195</v>
      </c>
      <c r="F28" s="75"/>
      <c r="G28" s="70">
        <f t="shared" ca="1" si="1"/>
        <v>46118</v>
      </c>
      <c r="H28" s="76" t="e">
        <f t="shared" ca="1" si="3"/>
        <v>#VALUE!</v>
      </c>
      <c r="I28" s="95" t="s">
        <v>192</v>
      </c>
      <c r="J28" s="68"/>
      <c r="K28" s="68"/>
      <c r="L28" s="68"/>
    </row>
    <row r="29" spans="2:12" s="66" customFormat="1" ht="24" customHeight="1">
      <c r="B29" s="68" t="s">
        <v>105</v>
      </c>
      <c r="C29" s="68" t="s">
        <v>82</v>
      </c>
      <c r="D29" s="69"/>
      <c r="E29" s="69">
        <v>46122</v>
      </c>
      <c r="F29" s="75"/>
      <c r="G29" s="70">
        <f t="shared" ca="1" si="1"/>
        <v>46118</v>
      </c>
      <c r="H29" s="76">
        <f t="shared" ca="1" si="3"/>
        <v>4</v>
      </c>
      <c r="I29" s="68" t="s">
        <v>170</v>
      </c>
      <c r="J29" s="68"/>
      <c r="K29" s="68"/>
      <c r="L29" s="68"/>
    </row>
    <row r="30" spans="2:12" s="66" customFormat="1" ht="24" customHeight="1">
      <c r="B30" s="68" t="s">
        <v>106</v>
      </c>
      <c r="C30" s="68" t="s">
        <v>82</v>
      </c>
      <c r="D30" s="69"/>
      <c r="E30" s="69">
        <v>46122</v>
      </c>
      <c r="F30" s="75"/>
      <c r="G30" s="70">
        <f t="shared" ca="1" si="1"/>
        <v>46118</v>
      </c>
      <c r="H30" s="76">
        <f t="shared" ca="1" si="3"/>
        <v>4</v>
      </c>
      <c r="I30" s="68" t="s">
        <v>170</v>
      </c>
      <c r="J30" s="68"/>
      <c r="K30" s="68"/>
      <c r="L30" s="68"/>
    </row>
    <row r="31" spans="2:12" s="66" customFormat="1" ht="24" customHeight="1">
      <c r="B31" s="68" t="s">
        <v>107</v>
      </c>
      <c r="C31" s="68" t="s">
        <v>82</v>
      </c>
      <c r="D31" s="69"/>
      <c r="E31" s="69">
        <v>46122</v>
      </c>
      <c r="F31" s="75"/>
      <c r="G31" s="70">
        <f t="shared" ca="1" si="1"/>
        <v>46118</v>
      </c>
      <c r="H31" s="76">
        <f t="shared" ca="1" si="3"/>
        <v>4</v>
      </c>
      <c r="I31" s="68" t="s">
        <v>170</v>
      </c>
      <c r="J31" s="68"/>
      <c r="K31" s="68"/>
      <c r="L31" s="68"/>
    </row>
    <row r="32" spans="2:12" s="66" customFormat="1" ht="24" customHeight="1">
      <c r="B32" s="68" t="s">
        <v>108</v>
      </c>
      <c r="C32" s="68"/>
      <c r="D32" s="69"/>
      <c r="E32" s="69"/>
      <c r="F32" s="75"/>
      <c r="G32" s="70">
        <f t="shared" ca="1" si="1"/>
        <v>46118</v>
      </c>
      <c r="H32" s="76"/>
      <c r="I32" s="68"/>
      <c r="J32" s="68"/>
      <c r="K32" s="68"/>
      <c r="L32" s="68"/>
    </row>
    <row r="33" spans="2:12" s="66" customFormat="1" ht="24" customHeight="1">
      <c r="B33" s="68" t="s">
        <v>109</v>
      </c>
      <c r="C33" s="68"/>
      <c r="D33" s="69"/>
      <c r="E33" s="69"/>
      <c r="F33" s="75"/>
      <c r="G33" s="70">
        <f t="shared" ca="1" si="1"/>
        <v>46118</v>
      </c>
      <c r="H33" s="76"/>
      <c r="I33" s="68"/>
      <c r="J33" s="68"/>
      <c r="K33" s="68"/>
      <c r="L33" s="68"/>
    </row>
    <row r="34" spans="2:12" s="66" customFormat="1" ht="24" customHeight="1">
      <c r="B34" s="68" t="s">
        <v>110</v>
      </c>
      <c r="C34" s="68"/>
      <c r="D34" s="69"/>
      <c r="E34" s="69"/>
      <c r="F34" s="75"/>
      <c r="G34" s="70">
        <f t="shared" ca="1" si="1"/>
        <v>46118</v>
      </c>
      <c r="H34" s="76"/>
      <c r="I34" s="68"/>
      <c r="J34" s="68"/>
      <c r="K34" s="68"/>
      <c r="L34" s="68"/>
    </row>
    <row r="35" spans="2:12" s="66" customFormat="1" ht="24" customHeight="1">
      <c r="B35" s="68" t="s">
        <v>111</v>
      </c>
      <c r="C35" s="68"/>
      <c r="D35" s="69"/>
      <c r="E35" s="69"/>
      <c r="F35" s="75"/>
      <c r="G35" s="70">
        <f t="shared" ca="1" si="1"/>
        <v>46118</v>
      </c>
      <c r="H35" s="76"/>
      <c r="I35" s="68"/>
      <c r="J35" s="68"/>
      <c r="K35" s="68"/>
      <c r="L35" s="68"/>
    </row>
    <row r="36" spans="2:12" s="66" customFormat="1" ht="24" customHeight="1">
      <c r="B36" s="68" t="s">
        <v>112</v>
      </c>
      <c r="C36" s="68" t="s">
        <v>82</v>
      </c>
      <c r="D36" s="69"/>
      <c r="E36" s="69">
        <v>46122</v>
      </c>
      <c r="F36" s="75"/>
      <c r="G36" s="70">
        <f t="shared" ca="1" si="1"/>
        <v>46118</v>
      </c>
      <c r="H36" s="76">
        <f t="shared" ca="1" si="3"/>
        <v>4</v>
      </c>
      <c r="I36" s="68" t="s">
        <v>170</v>
      </c>
      <c r="J36" s="68"/>
      <c r="K36" s="68"/>
      <c r="L36" s="68"/>
    </row>
    <row r="37" spans="2:12" s="66" customFormat="1" ht="24" customHeight="1">
      <c r="B37" s="68" t="s">
        <v>113</v>
      </c>
      <c r="C37" s="68"/>
      <c r="D37" s="69"/>
      <c r="E37" s="69"/>
      <c r="F37" s="75"/>
      <c r="G37" s="70">
        <f t="shared" ca="1" si="1"/>
        <v>46118</v>
      </c>
      <c r="H37" s="76"/>
      <c r="I37" s="68"/>
      <c r="J37" s="68"/>
      <c r="K37" s="68"/>
      <c r="L37" s="68"/>
    </row>
    <row r="38" spans="2:12" s="66" customFormat="1" ht="24" customHeight="1">
      <c r="B38" s="63" t="s">
        <v>12</v>
      </c>
      <c r="C38" s="67"/>
      <c r="D38" s="71"/>
      <c r="E38" s="71"/>
      <c r="F38" s="67"/>
      <c r="G38" s="72"/>
      <c r="H38" s="67"/>
      <c r="I38" s="67"/>
      <c r="J38" s="67"/>
      <c r="K38" s="68"/>
      <c r="L38" s="68"/>
    </row>
    <row r="39" spans="2:12" s="66" customFormat="1" ht="24" customHeight="1">
      <c r="B39" s="68" t="s">
        <v>114</v>
      </c>
      <c r="C39" s="68"/>
      <c r="D39" s="69"/>
      <c r="E39" s="69"/>
      <c r="F39" s="75"/>
      <c r="G39" s="70">
        <f t="shared" ca="1" si="1"/>
        <v>46118</v>
      </c>
      <c r="H39" s="76"/>
      <c r="I39" s="68"/>
      <c r="J39" s="68"/>
      <c r="K39" s="68"/>
      <c r="L39" s="68"/>
    </row>
    <row r="40" spans="2:12" s="66" customFormat="1" ht="24" customHeight="1">
      <c r="B40" s="68" t="s">
        <v>115</v>
      </c>
      <c r="C40" s="68"/>
      <c r="D40" s="69"/>
      <c r="E40" s="69"/>
      <c r="F40" s="75"/>
      <c r="G40" s="70">
        <f t="shared" ca="1" si="1"/>
        <v>46118</v>
      </c>
      <c r="H40" s="76"/>
      <c r="I40" s="68"/>
      <c r="J40" s="68"/>
      <c r="K40" s="68"/>
      <c r="L40" s="68"/>
    </row>
    <row r="41" spans="2:12" s="66" customFormat="1" ht="24" customHeight="1">
      <c r="B41" s="68" t="s">
        <v>116</v>
      </c>
      <c r="C41" s="68"/>
      <c r="D41" s="69"/>
      <c r="E41" s="69"/>
      <c r="F41" s="75"/>
      <c r="G41" s="70">
        <f t="shared" ca="1" si="1"/>
        <v>46118</v>
      </c>
      <c r="H41" s="76"/>
      <c r="I41" s="68"/>
      <c r="J41" s="68"/>
      <c r="K41" s="68"/>
      <c r="L41" s="68"/>
    </row>
    <row r="42" spans="2:12" s="66" customFormat="1" ht="24" customHeight="1">
      <c r="B42" s="68" t="s">
        <v>117</v>
      </c>
      <c r="C42" s="68" t="s">
        <v>183</v>
      </c>
      <c r="D42" s="69">
        <v>46153</v>
      </c>
      <c r="E42" s="69">
        <v>46167</v>
      </c>
      <c r="F42" s="75"/>
      <c r="G42" s="70">
        <f t="shared" ca="1" si="1"/>
        <v>46118</v>
      </c>
      <c r="H42" s="76">
        <f t="shared" ca="1" si="3"/>
        <v>49</v>
      </c>
      <c r="I42" s="68" t="s">
        <v>184</v>
      </c>
      <c r="J42" s="68"/>
      <c r="K42" s="68"/>
      <c r="L42" s="68"/>
    </row>
    <row r="43" spans="2:12" s="66" customFormat="1" ht="24" customHeight="1">
      <c r="B43" s="68" t="s">
        <v>118</v>
      </c>
      <c r="C43" s="68"/>
      <c r="D43" s="69"/>
      <c r="E43" s="69"/>
      <c r="F43" s="75"/>
      <c r="G43" s="70">
        <f t="shared" ca="1" si="1"/>
        <v>46118</v>
      </c>
      <c r="H43" s="76"/>
      <c r="I43" s="68"/>
      <c r="J43" s="68"/>
      <c r="K43" s="68"/>
      <c r="L43" s="68"/>
    </row>
    <row r="44" spans="2:12" s="66" customFormat="1" ht="24" customHeight="1">
      <c r="B44" s="68" t="s">
        <v>119</v>
      </c>
      <c r="C44" s="68" t="s">
        <v>27</v>
      </c>
      <c r="D44" s="69">
        <v>46023</v>
      </c>
      <c r="E44" s="69">
        <v>46387</v>
      </c>
      <c r="F44" s="75"/>
      <c r="G44" s="70">
        <f t="shared" ca="1" si="1"/>
        <v>46118</v>
      </c>
      <c r="H44" s="76">
        <f t="shared" ca="1" si="3"/>
        <v>269</v>
      </c>
      <c r="I44" s="68" t="s">
        <v>184</v>
      </c>
      <c r="J44" s="68"/>
      <c r="K44" s="68"/>
      <c r="L44" s="68"/>
    </row>
    <row r="45" spans="2:12" s="66" customFormat="1" ht="24" customHeight="1">
      <c r="B45" s="68" t="s">
        <v>120</v>
      </c>
      <c r="C45" s="68"/>
      <c r="D45" s="69"/>
      <c r="E45" s="69"/>
      <c r="F45" s="75"/>
      <c r="G45" s="70">
        <f t="shared" ca="1" si="1"/>
        <v>46118</v>
      </c>
      <c r="H45" s="76"/>
      <c r="I45" s="68"/>
      <c r="J45" s="68"/>
      <c r="K45" s="68"/>
      <c r="L45" s="68"/>
    </row>
    <row r="46" spans="2:12" s="66" customFormat="1" ht="24" customHeight="1">
      <c r="B46" s="68" t="s">
        <v>121</v>
      </c>
      <c r="C46" s="68" t="s">
        <v>122</v>
      </c>
      <c r="D46" s="69"/>
      <c r="E46" s="69">
        <v>46188</v>
      </c>
      <c r="F46" s="68"/>
      <c r="G46" s="70">
        <f ca="1">TODAY()</f>
        <v>46118</v>
      </c>
      <c r="H46" s="76">
        <f t="shared" ca="1" si="3"/>
        <v>70</v>
      </c>
      <c r="I46" s="68" t="s">
        <v>57</v>
      </c>
      <c r="J46" s="68"/>
      <c r="K46" s="68"/>
      <c r="L46" s="68"/>
    </row>
    <row r="47" spans="2:12" s="66" customFormat="1" ht="24" customHeight="1">
      <c r="B47" s="68" t="s">
        <v>123</v>
      </c>
      <c r="C47" s="68" t="s">
        <v>95</v>
      </c>
      <c r="D47" s="69"/>
      <c r="E47" s="69">
        <v>46264</v>
      </c>
      <c r="F47" s="68"/>
      <c r="G47" s="70">
        <f t="shared" ca="1" si="1"/>
        <v>46118</v>
      </c>
      <c r="H47" s="76">
        <f t="shared" ca="1" si="3"/>
        <v>146</v>
      </c>
      <c r="I47" s="68" t="s">
        <v>170</v>
      </c>
      <c r="J47" s="68"/>
      <c r="K47" s="68"/>
      <c r="L47" s="68"/>
    </row>
    <row r="48" spans="2:12" s="66" customFormat="1" ht="24" customHeight="1">
      <c r="B48" s="68" t="s">
        <v>124</v>
      </c>
      <c r="C48" s="68" t="s">
        <v>13</v>
      </c>
      <c r="D48" s="69"/>
      <c r="E48" s="69">
        <v>46395</v>
      </c>
      <c r="F48" s="68"/>
      <c r="G48" s="70">
        <f t="shared" ca="1" si="1"/>
        <v>46118</v>
      </c>
      <c r="H48" s="76">
        <f t="shared" ca="1" si="3"/>
        <v>277</v>
      </c>
      <c r="I48" s="68" t="s">
        <v>57</v>
      </c>
      <c r="J48" s="68"/>
      <c r="K48" s="68"/>
      <c r="L48" s="68"/>
    </row>
    <row r="49" spans="2:12" s="66" customFormat="1" ht="24" customHeight="1">
      <c r="B49" s="68" t="s">
        <v>5</v>
      </c>
      <c r="C49" s="68"/>
      <c r="D49" s="69"/>
      <c r="E49" s="69"/>
      <c r="F49" s="75"/>
      <c r="G49" s="70">
        <f t="shared" ca="1" si="1"/>
        <v>46118</v>
      </c>
      <c r="H49" s="76"/>
      <c r="I49" s="68"/>
      <c r="J49" s="68"/>
      <c r="K49" s="68"/>
      <c r="L49" s="68"/>
    </row>
    <row r="50" spans="2:12" s="66" customFormat="1" ht="24" customHeight="1">
      <c r="B50" s="68" t="s">
        <v>125</v>
      </c>
      <c r="C50" s="68"/>
      <c r="D50" s="69"/>
      <c r="E50" s="69"/>
      <c r="F50" s="75"/>
      <c r="G50" s="70">
        <f t="shared" ca="1" si="1"/>
        <v>46118</v>
      </c>
      <c r="H50" s="76"/>
      <c r="I50" s="68"/>
      <c r="J50" s="68"/>
      <c r="K50" s="68"/>
      <c r="L50" s="68"/>
    </row>
    <row r="51" spans="2:12" s="66" customFormat="1" ht="24" customHeight="1">
      <c r="B51" s="68" t="s">
        <v>6</v>
      </c>
      <c r="C51" s="68" t="s">
        <v>36</v>
      </c>
      <c r="D51" s="69"/>
      <c r="E51" s="69">
        <v>46325</v>
      </c>
      <c r="F51" s="68"/>
      <c r="G51" s="70">
        <f t="shared" ca="1" si="1"/>
        <v>46118</v>
      </c>
      <c r="H51" s="76">
        <f t="shared" ca="1" si="3"/>
        <v>207</v>
      </c>
      <c r="I51" s="68" t="s">
        <v>170</v>
      </c>
      <c r="J51" s="68"/>
      <c r="K51" s="68"/>
      <c r="L51" s="68"/>
    </row>
    <row r="52" spans="2:12" s="66" customFormat="1" ht="24" customHeight="1">
      <c r="B52" s="68" t="s">
        <v>126</v>
      </c>
      <c r="C52" s="68" t="s">
        <v>95</v>
      </c>
      <c r="D52" s="69"/>
      <c r="E52" s="69">
        <v>46264</v>
      </c>
      <c r="F52" s="68"/>
      <c r="G52" s="70">
        <f t="shared" ca="1" si="1"/>
        <v>46118</v>
      </c>
      <c r="H52" s="76">
        <f t="shared" ca="1" si="3"/>
        <v>146</v>
      </c>
      <c r="I52" s="68" t="s">
        <v>170</v>
      </c>
      <c r="J52" s="68"/>
      <c r="K52" s="68"/>
      <c r="L52" s="68"/>
    </row>
    <row r="53" spans="2:12" s="66" customFormat="1" ht="24" customHeight="1">
      <c r="B53" s="63" t="s">
        <v>127</v>
      </c>
      <c r="C53" s="67"/>
      <c r="D53" s="71"/>
      <c r="E53" s="71"/>
      <c r="F53" s="67"/>
      <c r="G53" s="72"/>
      <c r="H53" s="67"/>
      <c r="I53" s="67"/>
      <c r="J53" s="67"/>
      <c r="K53" s="68"/>
      <c r="L53" s="68"/>
    </row>
    <row r="54" spans="2:12" s="66" customFormat="1" ht="24" customHeight="1">
      <c r="B54" s="68" t="s">
        <v>128</v>
      </c>
      <c r="C54" s="68"/>
      <c r="D54" s="69"/>
      <c r="E54" s="69"/>
      <c r="F54" s="68"/>
      <c r="G54" s="70">
        <f t="shared" ca="1" si="1"/>
        <v>46118</v>
      </c>
      <c r="H54" s="68"/>
      <c r="I54" s="68"/>
      <c r="J54" s="68"/>
      <c r="K54" s="68"/>
      <c r="L54" s="68"/>
    </row>
    <row r="55" spans="2:12" s="66" customFormat="1" ht="24" customHeight="1">
      <c r="B55" s="63" t="s">
        <v>129</v>
      </c>
      <c r="C55" s="67"/>
      <c r="D55" s="71"/>
      <c r="E55" s="71"/>
      <c r="F55" s="67"/>
      <c r="G55" s="72"/>
      <c r="H55" s="67"/>
      <c r="I55" s="67"/>
      <c r="J55" s="67"/>
      <c r="K55" s="68"/>
      <c r="L55" s="68"/>
    </row>
    <row r="56" spans="2:12" s="66" customFormat="1" ht="24" customHeight="1">
      <c r="B56" s="68" t="s">
        <v>130</v>
      </c>
      <c r="C56" s="68"/>
      <c r="D56" s="69"/>
      <c r="E56" s="69"/>
      <c r="F56" s="68"/>
      <c r="G56" s="70">
        <f t="shared" ca="1" si="1"/>
        <v>46118</v>
      </c>
      <c r="H56" s="68"/>
      <c r="I56" s="68"/>
      <c r="J56" s="68"/>
      <c r="K56" s="68"/>
      <c r="L56" s="68"/>
    </row>
    <row r="57" spans="2:12" s="66" customFormat="1" ht="24" customHeight="1">
      <c r="B57" s="63" t="s">
        <v>131</v>
      </c>
      <c r="C57" s="67"/>
      <c r="D57" s="71"/>
      <c r="E57" s="71"/>
      <c r="F57" s="67"/>
      <c r="G57" s="72"/>
      <c r="H57" s="67"/>
      <c r="I57" s="67"/>
      <c r="J57" s="67"/>
      <c r="K57" s="68"/>
      <c r="L57" s="68"/>
    </row>
    <row r="58" spans="2:12" s="66" customFormat="1" ht="24" customHeight="1">
      <c r="B58" s="68" t="s">
        <v>132</v>
      </c>
      <c r="C58" s="68" t="s">
        <v>95</v>
      </c>
      <c r="D58" s="69"/>
      <c r="E58" s="69">
        <v>46264</v>
      </c>
      <c r="F58" s="68"/>
      <c r="G58" s="70">
        <f t="shared" ca="1" si="1"/>
        <v>46118</v>
      </c>
      <c r="H58" s="76">
        <f t="shared" ca="1" si="3"/>
        <v>146</v>
      </c>
      <c r="I58" s="68" t="s">
        <v>171</v>
      </c>
      <c r="J58" s="68"/>
      <c r="K58" s="68"/>
      <c r="L58" s="68"/>
    </row>
    <row r="59" spans="2:12" s="66" customFormat="1" ht="24" customHeight="1">
      <c r="B59" s="68" t="s">
        <v>133</v>
      </c>
      <c r="C59" s="68"/>
      <c r="D59" s="69"/>
      <c r="E59" s="69"/>
      <c r="F59" s="68"/>
      <c r="G59" s="70">
        <f t="shared" ca="1" si="1"/>
        <v>46118</v>
      </c>
      <c r="H59" s="76"/>
      <c r="I59" s="68"/>
      <c r="J59" s="68"/>
      <c r="K59" s="68"/>
      <c r="L59" s="68"/>
    </row>
    <row r="60" spans="2:12" s="66" customFormat="1" ht="24" customHeight="1">
      <c r="B60" s="68" t="s">
        <v>134</v>
      </c>
      <c r="C60" s="68"/>
      <c r="D60" s="69"/>
      <c r="E60" s="69"/>
      <c r="F60" s="68"/>
      <c r="G60" s="70">
        <f t="shared" ca="1" si="1"/>
        <v>46118</v>
      </c>
      <c r="H60" s="76"/>
      <c r="I60" s="68"/>
      <c r="J60" s="68"/>
      <c r="K60" s="68"/>
      <c r="L60" s="68"/>
    </row>
    <row r="61" spans="2:12" s="66" customFormat="1" ht="24" customHeight="1">
      <c r="B61" s="68" t="s">
        <v>135</v>
      </c>
      <c r="C61" s="68" t="s">
        <v>95</v>
      </c>
      <c r="D61" s="69"/>
      <c r="E61" s="69">
        <v>46264</v>
      </c>
      <c r="F61" s="68"/>
      <c r="G61" s="70">
        <f t="shared" ca="1" si="1"/>
        <v>46118</v>
      </c>
      <c r="H61" s="76">
        <f t="shared" ca="1" si="3"/>
        <v>146</v>
      </c>
      <c r="I61" s="68" t="s">
        <v>171</v>
      </c>
      <c r="J61" s="68"/>
      <c r="K61" s="68"/>
      <c r="L61" s="68"/>
    </row>
    <row r="62" spans="2:12" s="66" customFormat="1" ht="24" customHeight="1">
      <c r="B62" s="68" t="s">
        <v>7</v>
      </c>
      <c r="C62" s="68"/>
      <c r="D62" s="69"/>
      <c r="E62" s="69"/>
      <c r="F62" s="68"/>
      <c r="G62" s="70">
        <f t="shared" ca="1" si="1"/>
        <v>46118</v>
      </c>
      <c r="H62" s="76"/>
      <c r="I62" s="68" t="s">
        <v>171</v>
      </c>
      <c r="J62" s="68"/>
      <c r="K62" s="68"/>
      <c r="L62" s="68"/>
    </row>
    <row r="63" spans="2:12" s="66" customFormat="1" ht="24" customHeight="1">
      <c r="B63" s="68" t="s">
        <v>8</v>
      </c>
      <c r="C63" s="68"/>
      <c r="D63" s="69"/>
      <c r="E63" s="69"/>
      <c r="F63" s="68"/>
      <c r="G63" s="70">
        <f t="shared" ca="1" si="1"/>
        <v>46118</v>
      </c>
      <c r="H63" s="76"/>
      <c r="I63" s="68"/>
      <c r="J63" s="68"/>
      <c r="K63" s="68"/>
      <c r="L63" s="68"/>
    </row>
    <row r="64" spans="2:12" s="66" customFormat="1" ht="24" customHeight="1">
      <c r="B64" s="68" t="s">
        <v>136</v>
      </c>
      <c r="C64" s="68" t="s">
        <v>122</v>
      </c>
      <c r="D64" s="69"/>
      <c r="E64" s="69">
        <v>46188</v>
      </c>
      <c r="F64" s="68"/>
      <c r="G64" s="70">
        <f t="shared" ca="1" si="1"/>
        <v>46118</v>
      </c>
      <c r="H64" s="76">
        <f t="shared" ca="1" si="3"/>
        <v>70</v>
      </c>
      <c r="I64" s="68" t="s">
        <v>57</v>
      </c>
      <c r="J64" s="68"/>
      <c r="K64" s="68"/>
      <c r="L64" s="68"/>
    </row>
    <row r="65" spans="2:12" s="66" customFormat="1" ht="24" customHeight="1">
      <c r="B65" s="68" t="s">
        <v>137</v>
      </c>
      <c r="C65" s="68"/>
      <c r="D65" s="69"/>
      <c r="E65" s="69"/>
      <c r="F65" s="68"/>
      <c r="G65" s="70">
        <f t="shared" ca="1" si="1"/>
        <v>46118</v>
      </c>
      <c r="H65" s="76"/>
      <c r="I65" s="68" t="s">
        <v>171</v>
      </c>
      <c r="J65" s="68"/>
      <c r="K65" s="68"/>
      <c r="L65" s="68"/>
    </row>
    <row r="66" spans="2:12" s="66" customFormat="1" ht="24" customHeight="1">
      <c r="B66" s="68" t="s">
        <v>138</v>
      </c>
      <c r="C66" s="68"/>
      <c r="D66" s="69"/>
      <c r="E66" s="69"/>
      <c r="F66" s="68"/>
      <c r="G66" s="70"/>
      <c r="H66" s="76"/>
      <c r="I66" s="68" t="s">
        <v>171</v>
      </c>
      <c r="J66" s="68"/>
      <c r="K66" s="68"/>
      <c r="L66" s="68"/>
    </row>
    <row r="67" spans="2:12" s="66" customFormat="1" ht="24" customHeight="1">
      <c r="B67" s="68" t="s">
        <v>139</v>
      </c>
      <c r="C67" s="68"/>
      <c r="D67" s="69"/>
      <c r="E67" s="69"/>
      <c r="F67" s="68"/>
      <c r="G67" s="70">
        <f t="shared" ca="1" si="1"/>
        <v>46118</v>
      </c>
      <c r="H67" s="76"/>
      <c r="I67" s="68"/>
      <c r="J67" s="68"/>
      <c r="K67" s="68"/>
      <c r="L67" s="68"/>
    </row>
    <row r="68" spans="2:12" s="66" customFormat="1" ht="24" customHeight="1">
      <c r="B68" s="68" t="s">
        <v>140</v>
      </c>
      <c r="C68" s="68"/>
      <c r="D68" s="69"/>
      <c r="E68" s="69"/>
      <c r="F68" s="68"/>
      <c r="G68" s="70">
        <f t="shared" ca="1" si="1"/>
        <v>46118</v>
      </c>
      <c r="H68" s="76"/>
      <c r="I68" s="68"/>
      <c r="J68" s="68"/>
      <c r="K68" s="68"/>
      <c r="L68" s="68"/>
    </row>
    <row r="69" spans="2:12" s="66" customFormat="1" ht="24" customHeight="1">
      <c r="B69" s="68" t="s">
        <v>9</v>
      </c>
      <c r="C69" s="68" t="s">
        <v>190</v>
      </c>
      <c r="D69" s="69">
        <v>46127</v>
      </c>
      <c r="E69" s="69">
        <v>46157</v>
      </c>
      <c r="F69" s="68"/>
      <c r="G69" s="70">
        <f t="shared" ca="1" si="1"/>
        <v>46118</v>
      </c>
      <c r="H69" s="76">
        <f t="shared" ca="1" si="3"/>
        <v>39</v>
      </c>
      <c r="I69" s="68" t="s">
        <v>57</v>
      </c>
      <c r="J69" s="68"/>
      <c r="K69" s="68"/>
      <c r="L69" s="68"/>
    </row>
    <row r="70" spans="2:12" s="66" customFormat="1" ht="24" customHeight="1">
      <c r="B70" s="68" t="s">
        <v>10</v>
      </c>
      <c r="C70" s="68" t="s">
        <v>82</v>
      </c>
      <c r="D70" s="69"/>
      <c r="E70" s="69">
        <v>46386</v>
      </c>
      <c r="F70" s="68"/>
      <c r="G70" s="70">
        <f t="shared" ca="1" si="1"/>
        <v>46118</v>
      </c>
      <c r="H70" s="76">
        <f t="shared" ca="1" si="3"/>
        <v>268</v>
      </c>
      <c r="I70" s="68" t="s">
        <v>171</v>
      </c>
      <c r="J70" s="68"/>
      <c r="K70" s="68"/>
      <c r="L70" s="68"/>
    </row>
    <row r="71" spans="2:12" s="66" customFormat="1" ht="24" customHeight="1">
      <c r="B71" s="68" t="s">
        <v>141</v>
      </c>
      <c r="C71" s="68"/>
      <c r="D71" s="69"/>
      <c r="E71" s="69"/>
      <c r="F71" s="68"/>
      <c r="G71" s="70">
        <f t="shared" ca="1" si="1"/>
        <v>46118</v>
      </c>
      <c r="H71" s="76"/>
      <c r="I71" s="68"/>
      <c r="J71" s="68"/>
      <c r="K71" s="68"/>
      <c r="L71" s="68"/>
    </row>
    <row r="72" spans="2:12" s="66" customFormat="1" ht="24" customHeight="1">
      <c r="B72" s="68" t="s">
        <v>142</v>
      </c>
      <c r="C72" s="68"/>
      <c r="D72" s="69"/>
      <c r="E72" s="69"/>
      <c r="F72" s="68"/>
      <c r="G72" s="70">
        <f t="shared" ca="1" si="1"/>
        <v>46118</v>
      </c>
      <c r="H72" s="76"/>
      <c r="I72" s="68"/>
      <c r="J72" s="68"/>
      <c r="K72" s="68"/>
      <c r="L72" s="68"/>
    </row>
    <row r="73" spans="2:12" s="66" customFormat="1" ht="24" customHeight="1">
      <c r="B73" s="68" t="s">
        <v>143</v>
      </c>
      <c r="C73" s="68"/>
      <c r="D73" s="69"/>
      <c r="E73" s="69"/>
      <c r="F73" s="68"/>
      <c r="G73" s="70">
        <f t="shared" ca="1" si="1"/>
        <v>46118</v>
      </c>
      <c r="H73" s="76"/>
      <c r="I73" s="68"/>
      <c r="J73" s="68"/>
      <c r="K73" s="68"/>
      <c r="L73" s="68"/>
    </row>
    <row r="74" spans="2:12" s="66" customFormat="1" ht="24" customHeight="1">
      <c r="B74" s="68" t="s">
        <v>11</v>
      </c>
      <c r="C74" s="68" t="s">
        <v>75</v>
      </c>
      <c r="D74" s="69"/>
      <c r="E74" s="69">
        <v>46386</v>
      </c>
      <c r="F74" s="68"/>
      <c r="G74" s="70">
        <f t="shared" ca="1" si="1"/>
        <v>46118</v>
      </c>
      <c r="H74" s="76">
        <f t="shared" ca="1" si="3"/>
        <v>268</v>
      </c>
      <c r="I74" s="68" t="s">
        <v>171</v>
      </c>
      <c r="J74" s="68"/>
      <c r="K74" s="68"/>
      <c r="L74" s="68"/>
    </row>
    <row r="75" spans="2:12" s="66" customFormat="1" ht="24" customHeight="1">
      <c r="B75" s="63" t="s">
        <v>144</v>
      </c>
      <c r="C75" s="67"/>
      <c r="D75" s="71"/>
      <c r="E75" s="71"/>
      <c r="F75" s="67"/>
      <c r="G75" s="72"/>
      <c r="H75" s="67"/>
      <c r="I75" s="67"/>
      <c r="J75" s="67"/>
      <c r="K75" s="68"/>
      <c r="L75" s="68"/>
    </row>
    <row r="76" spans="2:12" s="66" customFormat="1" ht="24" customHeight="1">
      <c r="B76" s="68" t="s">
        <v>145</v>
      </c>
      <c r="C76" s="68"/>
      <c r="D76" s="69"/>
      <c r="E76" s="69"/>
      <c r="F76" s="68"/>
      <c r="G76" s="70">
        <f t="shared" ca="1" si="1"/>
        <v>46118</v>
      </c>
      <c r="H76" s="68"/>
      <c r="I76" s="68"/>
      <c r="J76" s="68"/>
      <c r="K76" s="68"/>
      <c r="L76" s="68"/>
    </row>
    <row r="77" spans="2:12" s="66" customFormat="1" ht="24" customHeight="1">
      <c r="B77" s="68" t="s">
        <v>146</v>
      </c>
      <c r="C77" s="68"/>
      <c r="D77" s="69"/>
      <c r="E77" s="69"/>
      <c r="F77" s="68"/>
      <c r="G77" s="70">
        <f t="shared" ca="1" si="1"/>
        <v>46118</v>
      </c>
      <c r="H77" s="68"/>
      <c r="I77" s="68"/>
      <c r="J77" s="68"/>
      <c r="K77" s="68"/>
      <c r="L77" s="68"/>
    </row>
    <row r="78" spans="2:12" s="66" customFormat="1" ht="24" customHeight="1">
      <c r="B78" s="68" t="s">
        <v>147</v>
      </c>
      <c r="C78" s="68"/>
      <c r="D78" s="69"/>
      <c r="E78" s="69"/>
      <c r="F78" s="68"/>
      <c r="G78" s="70">
        <f t="shared" ref="G78:G100" ca="1" si="4">TODAY()</f>
        <v>46118</v>
      </c>
      <c r="H78" s="68"/>
      <c r="I78" s="68"/>
      <c r="J78" s="68"/>
      <c r="K78" s="68"/>
      <c r="L78" s="68"/>
    </row>
    <row r="79" spans="2:12" s="66" customFormat="1" ht="24" customHeight="1">
      <c r="B79" s="68" t="s">
        <v>148</v>
      </c>
      <c r="C79" s="68"/>
      <c r="D79" s="69"/>
      <c r="E79" s="69"/>
      <c r="F79" s="68"/>
      <c r="G79" s="70">
        <f t="shared" ca="1" si="4"/>
        <v>46118</v>
      </c>
      <c r="H79" s="68"/>
      <c r="I79" s="68"/>
      <c r="J79" s="68"/>
      <c r="K79" s="68"/>
      <c r="L79" s="68"/>
    </row>
    <row r="80" spans="2:12" s="66" customFormat="1" ht="24" customHeight="1">
      <c r="B80" s="68" t="s">
        <v>149</v>
      </c>
      <c r="C80" s="68"/>
      <c r="D80" s="69"/>
      <c r="E80" s="69"/>
      <c r="F80" s="68"/>
      <c r="G80" s="70">
        <f t="shared" ca="1" si="4"/>
        <v>46118</v>
      </c>
      <c r="H80" s="68"/>
      <c r="I80" s="68"/>
      <c r="J80" s="68"/>
      <c r="K80" s="68"/>
      <c r="L80" s="68"/>
    </row>
    <row r="81" spans="2:12" s="66" customFormat="1" ht="24" customHeight="1">
      <c r="B81" s="68" t="s">
        <v>150</v>
      </c>
      <c r="C81" s="68"/>
      <c r="D81" s="69"/>
      <c r="E81" s="69"/>
      <c r="F81" s="68"/>
      <c r="G81" s="70">
        <f t="shared" ca="1" si="4"/>
        <v>46118</v>
      </c>
      <c r="H81" s="68"/>
      <c r="I81" s="68"/>
      <c r="J81" s="68"/>
      <c r="K81" s="68"/>
      <c r="L81" s="68"/>
    </row>
    <row r="82" spans="2:12" s="66" customFormat="1" ht="24" customHeight="1">
      <c r="B82" s="68" t="s">
        <v>151</v>
      </c>
      <c r="C82" s="68"/>
      <c r="D82" s="69"/>
      <c r="E82" s="69"/>
      <c r="F82" s="68"/>
      <c r="G82" s="70">
        <f t="shared" ca="1" si="4"/>
        <v>46118</v>
      </c>
      <c r="H82" s="68"/>
      <c r="I82" s="68"/>
      <c r="J82" s="68"/>
      <c r="K82" s="68"/>
      <c r="L82" s="68"/>
    </row>
    <row r="83" spans="2:12" s="66" customFormat="1" ht="24" customHeight="1">
      <c r="B83" s="68" t="s">
        <v>152</v>
      </c>
      <c r="C83" s="68"/>
      <c r="D83" s="69"/>
      <c r="E83" s="69"/>
      <c r="F83" s="68"/>
      <c r="G83" s="70">
        <f t="shared" ca="1" si="4"/>
        <v>46118</v>
      </c>
      <c r="H83" s="68"/>
      <c r="I83" s="68"/>
      <c r="J83" s="68"/>
      <c r="K83" s="68"/>
      <c r="L83" s="68"/>
    </row>
    <row r="84" spans="2:12" s="66" customFormat="1" ht="24" customHeight="1">
      <c r="B84" s="68" t="s">
        <v>153</v>
      </c>
      <c r="C84" s="68"/>
      <c r="D84" s="69"/>
      <c r="E84" s="69"/>
      <c r="F84" s="68"/>
      <c r="G84" s="70">
        <f t="shared" ca="1" si="4"/>
        <v>46118</v>
      </c>
      <c r="H84" s="68"/>
      <c r="I84" s="68"/>
      <c r="J84" s="68"/>
      <c r="K84" s="68"/>
      <c r="L84" s="68"/>
    </row>
    <row r="85" spans="2:12" s="66" customFormat="1" ht="24" customHeight="1">
      <c r="B85" s="68" t="s">
        <v>154</v>
      </c>
      <c r="C85" s="68"/>
      <c r="D85" s="69"/>
      <c r="E85" s="69"/>
      <c r="F85" s="68"/>
      <c r="G85" s="70">
        <f t="shared" ca="1" si="4"/>
        <v>46118</v>
      </c>
      <c r="H85" s="68"/>
      <c r="I85" s="68"/>
      <c r="J85" s="68"/>
      <c r="K85" s="68"/>
      <c r="L85" s="68"/>
    </row>
    <row r="86" spans="2:12" s="66" customFormat="1" ht="24" customHeight="1">
      <c r="B86" s="63" t="s">
        <v>155</v>
      </c>
      <c r="C86" s="67"/>
      <c r="D86" s="71"/>
      <c r="E86" s="71"/>
      <c r="F86" s="67"/>
      <c r="G86" s="72"/>
      <c r="H86" s="67"/>
      <c r="I86" s="67"/>
      <c r="J86" s="67"/>
      <c r="K86" s="68"/>
      <c r="L86" s="68"/>
    </row>
    <row r="87" spans="2:12" s="66" customFormat="1" ht="24" customHeight="1">
      <c r="B87" s="68" t="s">
        <v>156</v>
      </c>
      <c r="C87" s="68"/>
      <c r="D87" s="69"/>
      <c r="E87" s="69"/>
      <c r="F87" s="68"/>
      <c r="G87" s="70">
        <f t="shared" ca="1" si="4"/>
        <v>46118</v>
      </c>
      <c r="H87" s="68"/>
      <c r="I87" s="68"/>
      <c r="J87" s="68"/>
      <c r="K87" s="68"/>
      <c r="L87" s="68"/>
    </row>
    <row r="88" spans="2:12" s="66" customFormat="1" ht="24" customHeight="1">
      <c r="B88" s="68" t="s">
        <v>157</v>
      </c>
      <c r="C88" s="68"/>
      <c r="D88" s="69"/>
      <c r="E88" s="69"/>
      <c r="F88" s="68"/>
      <c r="G88" s="70">
        <f t="shared" ca="1" si="4"/>
        <v>46118</v>
      </c>
      <c r="H88" s="68"/>
      <c r="I88" s="68"/>
      <c r="J88" s="68"/>
      <c r="K88" s="68"/>
      <c r="L88" s="68"/>
    </row>
    <row r="89" spans="2:12" s="66" customFormat="1" ht="24" customHeight="1">
      <c r="B89" s="68" t="s">
        <v>158</v>
      </c>
      <c r="C89" s="68"/>
      <c r="D89" s="69"/>
      <c r="E89" s="69"/>
      <c r="F89" s="68"/>
      <c r="G89" s="70">
        <f t="shared" ca="1" si="4"/>
        <v>46118</v>
      </c>
      <c r="H89" s="68"/>
      <c r="I89" s="68"/>
      <c r="J89" s="68"/>
      <c r="K89" s="68"/>
      <c r="L89" s="68"/>
    </row>
    <row r="90" spans="2:12" s="66" customFormat="1" ht="24" customHeight="1">
      <c r="B90" s="68" t="s">
        <v>159</v>
      </c>
      <c r="C90" s="68"/>
      <c r="D90" s="69"/>
      <c r="E90" s="69"/>
      <c r="F90" s="68"/>
      <c r="G90" s="70">
        <f t="shared" ca="1" si="4"/>
        <v>46118</v>
      </c>
      <c r="H90" s="68"/>
      <c r="I90" s="68"/>
      <c r="J90" s="68"/>
      <c r="K90" s="68"/>
      <c r="L90" s="68"/>
    </row>
    <row r="91" spans="2:12" s="66" customFormat="1" ht="24" customHeight="1">
      <c r="B91" s="68" t="s">
        <v>160</v>
      </c>
      <c r="C91" s="68"/>
      <c r="D91" s="69"/>
      <c r="E91" s="69"/>
      <c r="F91" s="68"/>
      <c r="G91" s="70">
        <f t="shared" ca="1" si="4"/>
        <v>46118</v>
      </c>
      <c r="H91" s="68"/>
      <c r="I91" s="68"/>
      <c r="J91" s="68"/>
      <c r="K91" s="68"/>
      <c r="L91" s="68"/>
    </row>
    <row r="92" spans="2:12" s="66" customFormat="1" ht="24" customHeight="1">
      <c r="B92" s="68" t="s">
        <v>161</v>
      </c>
      <c r="C92" s="68"/>
      <c r="D92" s="69"/>
      <c r="E92" s="69"/>
      <c r="F92" s="68"/>
      <c r="G92" s="70">
        <f t="shared" ca="1" si="4"/>
        <v>46118</v>
      </c>
      <c r="H92" s="68"/>
      <c r="I92" s="68"/>
      <c r="J92" s="68"/>
      <c r="K92" s="68"/>
      <c r="L92" s="68"/>
    </row>
    <row r="93" spans="2:12" s="66" customFormat="1" ht="24" customHeight="1">
      <c r="B93" s="68" t="s">
        <v>162</v>
      </c>
      <c r="C93" s="68"/>
      <c r="D93" s="69"/>
      <c r="E93" s="69"/>
      <c r="F93" s="68"/>
      <c r="G93" s="70">
        <f t="shared" ca="1" si="4"/>
        <v>46118</v>
      </c>
      <c r="H93" s="68"/>
      <c r="I93" s="68"/>
      <c r="J93" s="68"/>
      <c r="K93" s="68"/>
      <c r="L93" s="68"/>
    </row>
    <row r="94" spans="2:12" s="66" customFormat="1" ht="24" customHeight="1">
      <c r="B94" s="68" t="s">
        <v>163</v>
      </c>
      <c r="C94" s="68"/>
      <c r="D94" s="69"/>
      <c r="E94" s="69"/>
      <c r="F94" s="68"/>
      <c r="G94" s="70">
        <f t="shared" ca="1" si="4"/>
        <v>46118</v>
      </c>
      <c r="H94" s="68"/>
      <c r="I94" s="68"/>
      <c r="J94" s="68"/>
      <c r="K94" s="68"/>
      <c r="L94" s="68"/>
    </row>
    <row r="95" spans="2:12" s="66" customFormat="1" ht="24" customHeight="1">
      <c r="B95" s="68" t="s">
        <v>164</v>
      </c>
      <c r="C95" s="68"/>
      <c r="D95" s="69"/>
      <c r="E95" s="69"/>
      <c r="F95" s="68"/>
      <c r="G95" s="70">
        <f t="shared" ca="1" si="4"/>
        <v>46118</v>
      </c>
      <c r="H95" s="68"/>
      <c r="I95" s="68"/>
      <c r="J95" s="68"/>
      <c r="K95" s="68"/>
      <c r="L95" s="68"/>
    </row>
    <row r="96" spans="2:12" s="66" customFormat="1" ht="24" customHeight="1">
      <c r="B96" s="68" t="s">
        <v>165</v>
      </c>
      <c r="C96" s="68"/>
      <c r="D96" s="69"/>
      <c r="E96" s="69"/>
      <c r="F96" s="68"/>
      <c r="G96" s="70">
        <f t="shared" ca="1" si="4"/>
        <v>46118</v>
      </c>
      <c r="H96" s="68"/>
      <c r="I96" s="68"/>
      <c r="J96" s="68"/>
      <c r="K96" s="68"/>
      <c r="L96" s="68"/>
    </row>
    <row r="97" spans="2:12" s="66" customFormat="1" ht="24" customHeight="1">
      <c r="B97" s="68" t="s">
        <v>166</v>
      </c>
      <c r="C97" s="68"/>
      <c r="D97" s="69"/>
      <c r="E97" s="69"/>
      <c r="F97" s="68"/>
      <c r="G97" s="70">
        <f t="shared" ca="1" si="4"/>
        <v>46118</v>
      </c>
      <c r="H97" s="68"/>
      <c r="I97" s="68"/>
      <c r="J97" s="68"/>
      <c r="K97" s="68"/>
      <c r="L97" s="68"/>
    </row>
    <row r="98" spans="2:12" s="66" customFormat="1" ht="24" customHeight="1">
      <c r="B98" s="68" t="s">
        <v>167</v>
      </c>
      <c r="C98" s="68"/>
      <c r="D98" s="69"/>
      <c r="E98" s="69"/>
      <c r="F98" s="68"/>
      <c r="G98" s="70">
        <f t="shared" ca="1" si="4"/>
        <v>46118</v>
      </c>
      <c r="H98" s="68"/>
      <c r="I98" s="68"/>
      <c r="J98" s="68"/>
      <c r="K98" s="68"/>
      <c r="L98" s="68"/>
    </row>
    <row r="99" spans="2:12" s="66" customFormat="1" ht="24" customHeight="1">
      <c r="B99" s="68" t="s">
        <v>168</v>
      </c>
      <c r="C99" s="68"/>
      <c r="D99" s="69"/>
      <c r="E99" s="69"/>
      <c r="F99" s="68"/>
      <c r="G99" s="70">
        <f t="shared" ca="1" si="4"/>
        <v>46118</v>
      </c>
      <c r="H99" s="68"/>
      <c r="I99" s="68"/>
      <c r="J99" s="68"/>
      <c r="K99" s="68"/>
      <c r="L99" s="68"/>
    </row>
    <row r="100" spans="2:12" s="66" customFormat="1" ht="24" customHeight="1">
      <c r="B100" s="68" t="s">
        <v>169</v>
      </c>
      <c r="C100" s="68"/>
      <c r="D100" s="69"/>
      <c r="E100" s="69"/>
      <c r="F100" s="68"/>
      <c r="G100" s="70">
        <f t="shared" ca="1" si="4"/>
        <v>46118</v>
      </c>
      <c r="H100" s="68"/>
      <c r="I100" s="68"/>
      <c r="J100" s="68"/>
      <c r="K100" s="68"/>
      <c r="L100" s="68"/>
    </row>
  </sheetData>
  <mergeCells count="2">
    <mergeCell ref="A2:J6"/>
    <mergeCell ref="A7:J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BE8C3-ED09-214A-BC87-7B505C2FECF7}">
  <dimension ref="A1:Q79"/>
  <sheetViews>
    <sheetView workbookViewId="0">
      <pane ySplit="1" topLeftCell="A6" activePane="bottomLeft" state="frozen"/>
      <selection pane="bottomLeft" activeCell="I57" sqref="I57"/>
    </sheetView>
  </sheetViews>
  <sheetFormatPr baseColWidth="10" defaultRowHeight="16"/>
  <cols>
    <col min="2" max="2" width="38.5" style="36" customWidth="1"/>
    <col min="3" max="3" width="19.1640625" style="52" customWidth="1"/>
    <col min="4" max="5" width="26.33203125" style="86" customWidth="1"/>
    <col min="6" max="6" width="26.33203125" style="87" customWidth="1"/>
    <col min="7" max="7" width="26.33203125" style="77" customWidth="1"/>
    <col min="8" max="8" width="24" customWidth="1"/>
    <col min="9" max="10" width="26.33203125" customWidth="1"/>
    <col min="11" max="11" width="13.1640625" customWidth="1"/>
    <col min="12" max="12" width="29.5" customWidth="1"/>
    <col min="13" max="13" width="0" hidden="1" customWidth="1"/>
    <col min="14" max="14" width="6.5" hidden="1" customWidth="1"/>
    <col min="15" max="16" width="0.1640625" hidden="1" customWidth="1"/>
    <col min="17" max="17" width="10.83203125" hidden="1" customWidth="1"/>
  </cols>
  <sheetData>
    <row r="1" spans="1:12" s="5" customFormat="1" ht="136" customHeight="1">
      <c r="A1" s="8"/>
      <c r="B1" s="12" t="s">
        <v>0</v>
      </c>
      <c r="C1" s="50" t="s">
        <v>181</v>
      </c>
      <c r="D1" s="6" t="s">
        <v>19</v>
      </c>
      <c r="E1" s="6" t="s">
        <v>20</v>
      </c>
      <c r="F1" s="7" t="s">
        <v>17</v>
      </c>
      <c r="G1" s="21" t="s">
        <v>178</v>
      </c>
      <c r="H1" s="21" t="s">
        <v>35</v>
      </c>
      <c r="I1" s="21" t="s">
        <v>3</v>
      </c>
      <c r="J1" s="7" t="s">
        <v>2</v>
      </c>
      <c r="K1" s="19"/>
      <c r="L1" s="20"/>
    </row>
    <row r="2" spans="1:12" s="1" customFormat="1" ht="54" customHeight="1">
      <c r="A2" s="106" t="s">
        <v>14</v>
      </c>
      <c r="B2" s="107"/>
      <c r="C2" s="107"/>
      <c r="D2" s="107"/>
      <c r="E2" s="107"/>
      <c r="F2" s="107"/>
      <c r="G2" s="107"/>
      <c r="H2" s="107"/>
      <c r="I2" s="107"/>
      <c r="J2" s="40"/>
      <c r="K2" s="18"/>
      <c r="L2" s="17"/>
    </row>
    <row r="3" spans="1:12" s="5" customFormat="1" ht="50" customHeight="1">
      <c r="A3" s="8"/>
      <c r="B3" s="12" t="s">
        <v>0</v>
      </c>
      <c r="C3" s="50" t="s">
        <v>71</v>
      </c>
      <c r="D3" s="6" t="s">
        <v>19</v>
      </c>
      <c r="E3" s="6" t="s">
        <v>20</v>
      </c>
      <c r="F3" s="7" t="s">
        <v>17</v>
      </c>
      <c r="G3" s="21" t="s">
        <v>178</v>
      </c>
      <c r="H3" s="21" t="s">
        <v>35</v>
      </c>
      <c r="I3" s="21" t="s">
        <v>3</v>
      </c>
      <c r="J3" s="7" t="s">
        <v>2</v>
      </c>
      <c r="K3" s="19"/>
      <c r="L3" s="20"/>
    </row>
    <row r="4" spans="1:12" s="1" customFormat="1" ht="84" hidden="1">
      <c r="A4" s="11">
        <v>45962</v>
      </c>
      <c r="B4" s="13" t="s">
        <v>16</v>
      </c>
      <c r="C4" s="48"/>
      <c r="D4" s="9">
        <v>45980</v>
      </c>
      <c r="E4" s="9">
        <v>45987</v>
      </c>
      <c r="F4" s="10" t="s">
        <v>15</v>
      </c>
      <c r="G4" s="22" t="s">
        <v>23</v>
      </c>
      <c r="H4" s="23">
        <f ca="1">TODAY()</f>
        <v>46118</v>
      </c>
      <c r="I4" s="49">
        <f t="shared" ref="I4:I55" ca="1" si="0">_xlfn.DAYS(E4,H4)</f>
        <v>-131</v>
      </c>
      <c r="J4" s="24"/>
      <c r="K4" s="16"/>
    </row>
    <row r="5" spans="1:12" s="1" customFormat="1" ht="28" hidden="1" customHeight="1">
      <c r="A5" s="108">
        <v>45992</v>
      </c>
      <c r="B5" s="13" t="s">
        <v>18</v>
      </c>
      <c r="C5" s="48"/>
      <c r="D5" s="9">
        <v>45995</v>
      </c>
      <c r="E5" s="9">
        <v>46001</v>
      </c>
      <c r="F5" s="10" t="s">
        <v>15</v>
      </c>
      <c r="G5" s="22" t="s">
        <v>23</v>
      </c>
      <c r="H5" s="23">
        <f t="shared" ref="H5:H34" ca="1" si="1">TODAY()</f>
        <v>46118</v>
      </c>
      <c r="I5" s="49">
        <f t="shared" ca="1" si="0"/>
        <v>-117</v>
      </c>
      <c r="J5" s="24"/>
      <c r="K5" s="16"/>
    </row>
    <row r="6" spans="1:12" s="1" customFormat="1" ht="96" customHeight="1">
      <c r="A6" s="109"/>
      <c r="B6" s="13" t="s">
        <v>44</v>
      </c>
      <c r="C6" s="48" t="s">
        <v>74</v>
      </c>
      <c r="D6" s="9">
        <v>46006</v>
      </c>
      <c r="E6" s="58">
        <v>46371</v>
      </c>
      <c r="F6" s="10" t="s">
        <v>21</v>
      </c>
      <c r="G6" s="79"/>
      <c r="H6" s="85">
        <f t="shared" ca="1" si="1"/>
        <v>46118</v>
      </c>
      <c r="I6" s="39">
        <f t="shared" ca="1" si="0"/>
        <v>253</v>
      </c>
      <c r="J6" s="24"/>
      <c r="K6" s="16"/>
    </row>
    <row r="7" spans="1:12" s="1" customFormat="1" ht="28" hidden="1" customHeight="1">
      <c r="A7" s="109"/>
      <c r="B7" s="27" t="s">
        <v>22</v>
      </c>
      <c r="C7" s="55"/>
      <c r="D7" s="14">
        <v>46005</v>
      </c>
      <c r="E7" s="59">
        <v>46011</v>
      </c>
      <c r="F7" s="15" t="s">
        <v>15</v>
      </c>
      <c r="G7" s="80"/>
      <c r="H7" s="85">
        <f t="shared" ca="1" si="1"/>
        <v>46118</v>
      </c>
      <c r="I7" s="49">
        <f t="shared" ca="1" si="0"/>
        <v>-107</v>
      </c>
      <c r="J7" s="24"/>
      <c r="K7" s="16"/>
    </row>
    <row r="8" spans="1:12" s="1" customFormat="1" ht="28" hidden="1" customHeight="1">
      <c r="A8" s="109"/>
      <c r="B8" s="13" t="s">
        <v>25</v>
      </c>
      <c r="C8" s="48"/>
      <c r="D8" s="9">
        <v>46003</v>
      </c>
      <c r="E8" s="37">
        <v>46024</v>
      </c>
      <c r="F8" s="3" t="s">
        <v>24</v>
      </c>
      <c r="G8" s="79"/>
      <c r="H8" s="85">
        <f t="shared" ca="1" si="1"/>
        <v>46118</v>
      </c>
      <c r="I8" s="49">
        <f t="shared" ca="1" si="0"/>
        <v>-94</v>
      </c>
      <c r="J8" s="24"/>
      <c r="K8" s="16"/>
    </row>
    <row r="9" spans="1:12" s="1" customFormat="1" ht="28" hidden="1" customHeight="1">
      <c r="A9" s="109"/>
      <c r="B9" s="13" t="s">
        <v>26</v>
      </c>
      <c r="C9" s="48"/>
      <c r="D9" s="9">
        <v>46003</v>
      </c>
      <c r="E9" s="37">
        <v>46024</v>
      </c>
      <c r="F9" s="3" t="s">
        <v>24</v>
      </c>
      <c r="G9" s="79"/>
      <c r="H9" s="85">
        <f t="shared" ca="1" si="1"/>
        <v>46118</v>
      </c>
      <c r="I9" s="49">
        <f t="shared" ca="1" si="0"/>
        <v>-94</v>
      </c>
      <c r="J9" s="24"/>
      <c r="K9" s="16"/>
    </row>
    <row r="10" spans="1:12" s="1" customFormat="1" ht="28" hidden="1" customHeight="1">
      <c r="A10" s="109"/>
      <c r="B10" s="27" t="s">
        <v>27</v>
      </c>
      <c r="C10" s="55"/>
      <c r="D10" s="14">
        <v>46004</v>
      </c>
      <c r="E10" s="59">
        <v>46024</v>
      </c>
      <c r="F10" s="15" t="s">
        <v>24</v>
      </c>
      <c r="G10" s="80"/>
      <c r="H10" s="85">
        <f t="shared" ca="1" si="1"/>
        <v>46118</v>
      </c>
      <c r="I10" s="49">
        <f t="shared" ca="1" si="0"/>
        <v>-94</v>
      </c>
      <c r="J10" s="24"/>
      <c r="K10" s="16"/>
    </row>
    <row r="11" spans="1:12" s="1" customFormat="1" ht="28" hidden="1" customHeight="1">
      <c r="A11" s="109"/>
      <c r="B11" s="13" t="s">
        <v>41</v>
      </c>
      <c r="C11" s="48"/>
      <c r="D11" s="9">
        <v>46008</v>
      </c>
      <c r="E11" s="37">
        <v>46021</v>
      </c>
      <c r="F11" s="3" t="s">
        <v>28</v>
      </c>
      <c r="G11" s="81"/>
      <c r="H11" s="85">
        <f t="shared" ca="1" si="1"/>
        <v>46118</v>
      </c>
      <c r="I11" s="49">
        <f t="shared" ca="1" si="0"/>
        <v>-97</v>
      </c>
      <c r="J11" s="24"/>
      <c r="K11" s="16"/>
    </row>
    <row r="12" spans="1:12" s="1" customFormat="1" ht="52" hidden="1" customHeight="1">
      <c r="A12" s="109"/>
      <c r="B12" s="13" t="s">
        <v>40</v>
      </c>
      <c r="C12" s="48"/>
      <c r="D12" s="2">
        <v>46009</v>
      </c>
      <c r="E12" s="37">
        <v>46027</v>
      </c>
      <c r="F12" s="3" t="s">
        <v>28</v>
      </c>
      <c r="G12" s="82"/>
      <c r="H12" s="85">
        <f t="shared" ca="1" si="1"/>
        <v>46118</v>
      </c>
      <c r="I12" s="49">
        <f t="shared" ca="1" si="0"/>
        <v>-91</v>
      </c>
      <c r="J12" s="24"/>
      <c r="K12" s="16"/>
    </row>
    <row r="13" spans="1:12" s="1" customFormat="1" ht="28" hidden="1" customHeight="1">
      <c r="A13" s="105">
        <v>46023</v>
      </c>
      <c r="B13" s="13" t="s">
        <v>30</v>
      </c>
      <c r="C13" s="48"/>
      <c r="D13" s="26">
        <v>46020</v>
      </c>
      <c r="E13" s="33">
        <v>45668</v>
      </c>
      <c r="F13" s="3" t="s">
        <v>28</v>
      </c>
      <c r="G13" s="81"/>
      <c r="H13" s="85">
        <f t="shared" ca="1" si="1"/>
        <v>46118</v>
      </c>
      <c r="I13" s="49">
        <f t="shared" ca="1" si="0"/>
        <v>-450</v>
      </c>
      <c r="J13" s="24"/>
      <c r="K13" s="16"/>
    </row>
    <row r="14" spans="1:12" s="1" customFormat="1" ht="46" hidden="1" customHeight="1">
      <c r="A14" s="105"/>
      <c r="B14" s="13" t="s">
        <v>39</v>
      </c>
      <c r="C14" s="48"/>
      <c r="D14" s="26">
        <v>46003</v>
      </c>
      <c r="E14" s="32">
        <v>46032</v>
      </c>
      <c r="F14" s="3" t="s">
        <v>31</v>
      </c>
      <c r="G14" s="81"/>
      <c r="H14" s="85">
        <f t="shared" ca="1" si="1"/>
        <v>46118</v>
      </c>
      <c r="I14" s="49">
        <f t="shared" ca="1" si="0"/>
        <v>-86</v>
      </c>
      <c r="J14" s="24"/>
      <c r="K14" s="16"/>
    </row>
    <row r="15" spans="1:12" s="1" customFormat="1" ht="53" hidden="1" customHeight="1">
      <c r="A15" s="105"/>
      <c r="B15" s="13" t="s">
        <v>47</v>
      </c>
      <c r="C15" s="48"/>
      <c r="D15" s="26">
        <v>46029</v>
      </c>
      <c r="E15" s="33">
        <v>46062</v>
      </c>
      <c r="F15" s="4" t="s">
        <v>31</v>
      </c>
      <c r="G15" s="82"/>
      <c r="H15" s="85">
        <f t="shared" ca="1" si="1"/>
        <v>46118</v>
      </c>
      <c r="I15" s="49">
        <f t="shared" ca="1" si="0"/>
        <v>-56</v>
      </c>
      <c r="J15" s="24"/>
      <c r="K15" s="16"/>
    </row>
    <row r="16" spans="1:12" s="1" customFormat="1" ht="69" hidden="1" customHeight="1">
      <c r="A16" s="105"/>
      <c r="B16" s="13" t="s">
        <v>38</v>
      </c>
      <c r="C16" s="48"/>
      <c r="D16" s="26">
        <v>46032</v>
      </c>
      <c r="E16" s="33">
        <v>46038</v>
      </c>
      <c r="F16" s="4" t="s">
        <v>15</v>
      </c>
      <c r="G16" s="81"/>
      <c r="H16" s="85">
        <f t="shared" ca="1" si="1"/>
        <v>46118</v>
      </c>
      <c r="I16" s="49">
        <f t="shared" ca="1" si="0"/>
        <v>-80</v>
      </c>
      <c r="J16" s="24"/>
      <c r="K16" s="16"/>
    </row>
    <row r="17" spans="1:17" s="1" customFormat="1" ht="48" hidden="1" customHeight="1">
      <c r="A17" s="105"/>
      <c r="B17" s="13" t="s">
        <v>42</v>
      </c>
      <c r="C17" s="48"/>
      <c r="D17" s="26">
        <v>46032</v>
      </c>
      <c r="E17" s="33">
        <v>46111</v>
      </c>
      <c r="F17" s="4" t="s">
        <v>29</v>
      </c>
      <c r="G17" s="81"/>
      <c r="H17" s="85">
        <f t="shared" ca="1" si="1"/>
        <v>46118</v>
      </c>
      <c r="I17" s="53">
        <f t="shared" ca="1" si="0"/>
        <v>-7</v>
      </c>
      <c r="J17" s="24"/>
      <c r="K17" s="16"/>
    </row>
    <row r="18" spans="1:17" s="1" customFormat="1" ht="28" hidden="1" customHeight="1">
      <c r="A18" s="105"/>
      <c r="B18" s="13" t="s">
        <v>32</v>
      </c>
      <c r="C18" s="48"/>
      <c r="D18" s="26">
        <v>46031</v>
      </c>
      <c r="E18" s="32">
        <v>46037</v>
      </c>
      <c r="F18" s="4" t="s">
        <v>15</v>
      </c>
      <c r="G18" s="81"/>
      <c r="H18" s="85">
        <f t="shared" ca="1" si="1"/>
        <v>46118</v>
      </c>
      <c r="I18" s="49">
        <f t="shared" ca="1" si="0"/>
        <v>-81</v>
      </c>
      <c r="J18" s="24"/>
      <c r="K18" s="16"/>
    </row>
    <row r="19" spans="1:17" s="1" customFormat="1" ht="91" customHeight="1">
      <c r="A19" s="105"/>
      <c r="B19" s="13" t="s">
        <v>33</v>
      </c>
      <c r="C19" s="48" t="s">
        <v>74</v>
      </c>
      <c r="D19" s="26">
        <v>46034</v>
      </c>
      <c r="E19" s="32">
        <v>46399</v>
      </c>
      <c r="F19" s="4" t="s">
        <v>21</v>
      </c>
      <c r="G19" s="81"/>
      <c r="H19" s="85">
        <f t="shared" ca="1" si="1"/>
        <v>46118</v>
      </c>
      <c r="I19" s="39">
        <f t="shared" ca="1" si="0"/>
        <v>281</v>
      </c>
      <c r="J19" s="24"/>
      <c r="K19" s="16"/>
    </row>
    <row r="20" spans="1:17" s="1" customFormat="1" ht="28" hidden="1" customHeight="1">
      <c r="A20" s="105"/>
      <c r="B20" s="13" t="s">
        <v>34</v>
      </c>
      <c r="C20" s="48"/>
      <c r="D20" s="26">
        <v>46038</v>
      </c>
      <c r="E20" s="33">
        <v>46056</v>
      </c>
      <c r="F20" s="4" t="s">
        <v>24</v>
      </c>
      <c r="G20" s="81"/>
      <c r="H20" s="85">
        <f ca="1">TODAY()</f>
        <v>46118</v>
      </c>
      <c r="I20" s="49">
        <f t="shared" ca="1" si="0"/>
        <v>-62</v>
      </c>
      <c r="J20" s="24"/>
      <c r="K20" s="35" t="s">
        <v>52</v>
      </c>
      <c r="L20" s="35"/>
      <c r="M20" s="35"/>
      <c r="N20" s="35"/>
      <c r="O20" s="35"/>
      <c r="P20" s="35"/>
    </row>
    <row r="21" spans="1:17" s="1" customFormat="1" ht="24" hidden="1">
      <c r="A21" s="105"/>
      <c r="B21" s="13" t="s">
        <v>37</v>
      </c>
      <c r="C21" s="48"/>
      <c r="D21" s="26">
        <v>46044</v>
      </c>
      <c r="E21" s="33">
        <v>46050</v>
      </c>
      <c r="F21" s="4" t="s">
        <v>15</v>
      </c>
      <c r="G21" s="81"/>
      <c r="H21" s="85">
        <f ca="1">TODAY()</f>
        <v>46118</v>
      </c>
      <c r="I21" s="49">
        <f t="shared" ca="1" si="0"/>
        <v>-68</v>
      </c>
      <c r="J21" s="24"/>
      <c r="K21" s="16"/>
      <c r="L21" s="35"/>
      <c r="M21" s="35"/>
      <c r="N21" s="35"/>
      <c r="O21" s="35"/>
      <c r="P21" s="35"/>
      <c r="Q21" s="35"/>
    </row>
    <row r="22" spans="1:17" s="1" customFormat="1" ht="60" hidden="1">
      <c r="A22" s="105"/>
      <c r="B22" s="13" t="s">
        <v>43</v>
      </c>
      <c r="C22" s="48" t="s">
        <v>73</v>
      </c>
      <c r="D22" s="26">
        <v>46044</v>
      </c>
      <c r="E22" s="33">
        <v>46052</v>
      </c>
      <c r="F22" s="3" t="s">
        <v>15</v>
      </c>
      <c r="G22" s="81"/>
      <c r="H22" s="85">
        <f t="shared" ca="1" si="1"/>
        <v>46118</v>
      </c>
      <c r="I22" s="49">
        <f t="shared" ca="1" si="0"/>
        <v>-66</v>
      </c>
      <c r="J22" s="24"/>
      <c r="K22" s="16"/>
      <c r="L22" s="35"/>
      <c r="M22" s="35"/>
      <c r="N22" s="35"/>
      <c r="O22" s="35"/>
      <c r="P22" s="35"/>
      <c r="Q22" s="35"/>
    </row>
    <row r="23" spans="1:17" s="1" customFormat="1" ht="24">
      <c r="A23" s="105"/>
      <c r="B23" s="13" t="s">
        <v>83</v>
      </c>
      <c r="C23" s="48" t="s">
        <v>182</v>
      </c>
      <c r="D23" s="26">
        <v>46042</v>
      </c>
      <c r="E23" s="33" t="s">
        <v>65</v>
      </c>
      <c r="F23" s="3" t="s">
        <v>31</v>
      </c>
      <c r="G23" s="81"/>
      <c r="H23" s="85">
        <f t="shared" ca="1" si="1"/>
        <v>46118</v>
      </c>
      <c r="I23" s="39" t="e">
        <f t="shared" ca="1" si="0"/>
        <v>#VALUE!</v>
      </c>
      <c r="J23" s="24"/>
      <c r="K23" s="16"/>
    </row>
    <row r="24" spans="1:17" s="1" customFormat="1" ht="24" hidden="1">
      <c r="A24" s="105"/>
      <c r="B24" s="13" t="s">
        <v>45</v>
      </c>
      <c r="C24" s="48" t="s">
        <v>74</v>
      </c>
      <c r="D24" s="26">
        <v>46052</v>
      </c>
      <c r="E24" s="33">
        <v>46063</v>
      </c>
      <c r="F24" s="3" t="s">
        <v>46</v>
      </c>
      <c r="G24" s="81"/>
      <c r="H24" s="85">
        <f t="shared" ca="1" si="1"/>
        <v>46118</v>
      </c>
      <c r="I24" s="49">
        <f t="shared" ca="1" si="0"/>
        <v>-55</v>
      </c>
      <c r="J24" s="24"/>
      <c r="K24" s="16"/>
    </row>
    <row r="25" spans="1:17" ht="60" hidden="1">
      <c r="A25" s="105">
        <v>46054</v>
      </c>
      <c r="B25" s="31" t="s">
        <v>48</v>
      </c>
      <c r="C25" s="51" t="s">
        <v>74</v>
      </c>
      <c r="D25" s="28">
        <v>46056</v>
      </c>
      <c r="E25" s="34">
        <v>46068</v>
      </c>
      <c r="F25" s="29" t="s">
        <v>46</v>
      </c>
      <c r="G25" s="83"/>
      <c r="H25" s="85">
        <f t="shared" ca="1" si="1"/>
        <v>46118</v>
      </c>
      <c r="I25" s="49">
        <f t="shared" ca="1" si="0"/>
        <v>-50</v>
      </c>
      <c r="J25" s="24"/>
    </row>
    <row r="26" spans="1:17" ht="24" hidden="1">
      <c r="A26" s="105"/>
      <c r="B26" s="31" t="s">
        <v>51</v>
      </c>
      <c r="C26" s="51" t="s">
        <v>74</v>
      </c>
      <c r="D26" s="28">
        <v>46057</v>
      </c>
      <c r="E26" s="34">
        <v>46063</v>
      </c>
      <c r="F26" s="29" t="s">
        <v>15</v>
      </c>
      <c r="G26" s="83"/>
      <c r="H26" s="85">
        <f t="shared" ca="1" si="1"/>
        <v>46118</v>
      </c>
      <c r="I26" s="49">
        <f t="shared" ca="1" si="0"/>
        <v>-55</v>
      </c>
      <c r="J26" s="24"/>
    </row>
    <row r="27" spans="1:17" ht="24" hidden="1">
      <c r="A27" s="105"/>
      <c r="B27" s="31" t="s">
        <v>50</v>
      </c>
      <c r="C27" s="51" t="s">
        <v>74</v>
      </c>
      <c r="D27" s="28">
        <v>46057</v>
      </c>
      <c r="E27" s="34">
        <v>46070</v>
      </c>
      <c r="F27" s="30" t="s">
        <v>28</v>
      </c>
      <c r="G27" s="83"/>
      <c r="H27" s="85">
        <f t="shared" ca="1" si="1"/>
        <v>46118</v>
      </c>
      <c r="I27" s="49">
        <f t="shared" ca="1" si="0"/>
        <v>-48</v>
      </c>
      <c r="J27" s="24"/>
    </row>
    <row r="28" spans="1:17" ht="24" hidden="1">
      <c r="A28" s="105"/>
      <c r="B28" s="31" t="s">
        <v>49</v>
      </c>
      <c r="C28" s="51" t="s">
        <v>74</v>
      </c>
      <c r="D28" s="28">
        <v>46058</v>
      </c>
      <c r="E28" s="34">
        <v>46071</v>
      </c>
      <c r="F28" s="30" t="s">
        <v>28</v>
      </c>
      <c r="G28" s="83"/>
      <c r="H28" s="85">
        <f t="shared" ca="1" si="1"/>
        <v>46118</v>
      </c>
      <c r="I28" s="49">
        <f t="shared" ca="1" si="0"/>
        <v>-47</v>
      </c>
      <c r="J28" s="24"/>
    </row>
    <row r="29" spans="1:17" ht="40" hidden="1">
      <c r="A29" s="105"/>
      <c r="B29" s="31" t="s">
        <v>53</v>
      </c>
      <c r="C29" s="51" t="s">
        <v>74</v>
      </c>
      <c r="D29" s="28">
        <v>46064</v>
      </c>
      <c r="E29" s="34">
        <v>46070</v>
      </c>
      <c r="F29" s="30" t="s">
        <v>15</v>
      </c>
      <c r="G29" s="83"/>
      <c r="H29" s="85">
        <f t="shared" ca="1" si="1"/>
        <v>46118</v>
      </c>
      <c r="I29" s="49">
        <f t="shared" ca="1" si="0"/>
        <v>-48</v>
      </c>
      <c r="J29" s="24"/>
    </row>
    <row r="30" spans="1:17" ht="60" hidden="1">
      <c r="A30" s="105"/>
      <c r="B30" s="31" t="s">
        <v>54</v>
      </c>
      <c r="C30" s="51" t="s">
        <v>74</v>
      </c>
      <c r="D30" s="28">
        <v>46064</v>
      </c>
      <c r="E30" s="34">
        <v>46067</v>
      </c>
      <c r="F30" s="30" t="s">
        <v>55</v>
      </c>
      <c r="G30" s="83"/>
      <c r="H30" s="85">
        <f t="shared" ca="1" si="1"/>
        <v>46118</v>
      </c>
      <c r="I30" s="49">
        <f t="shared" ca="1" si="0"/>
        <v>-51</v>
      </c>
      <c r="J30" s="24"/>
    </row>
    <row r="31" spans="1:17" ht="24" hidden="1">
      <c r="A31" s="105"/>
      <c r="B31" s="31" t="s">
        <v>56</v>
      </c>
      <c r="C31" s="51" t="s">
        <v>74</v>
      </c>
      <c r="D31" s="28">
        <v>46066</v>
      </c>
      <c r="E31" s="34">
        <v>46079</v>
      </c>
      <c r="F31" s="30" t="s">
        <v>46</v>
      </c>
      <c r="G31" s="83"/>
      <c r="H31" s="85">
        <f t="shared" ca="1" si="1"/>
        <v>46118</v>
      </c>
      <c r="I31" s="49">
        <f t="shared" ca="1" si="0"/>
        <v>-39</v>
      </c>
      <c r="J31" s="24"/>
    </row>
    <row r="32" spans="1:17" ht="24" hidden="1">
      <c r="A32" s="105"/>
      <c r="B32" s="31" t="s">
        <v>56</v>
      </c>
      <c r="C32" s="51" t="s">
        <v>74</v>
      </c>
      <c r="D32" s="28">
        <v>46073</v>
      </c>
      <c r="E32" s="34">
        <v>46087</v>
      </c>
      <c r="F32" s="30" t="s">
        <v>46</v>
      </c>
      <c r="G32" s="83"/>
      <c r="H32" s="85">
        <f t="shared" ca="1" si="1"/>
        <v>46118</v>
      </c>
      <c r="I32" s="53">
        <f t="shared" ca="1" si="0"/>
        <v>-31</v>
      </c>
      <c r="J32" s="24"/>
    </row>
    <row r="33" spans="1:10" ht="24" hidden="1">
      <c r="A33" s="105"/>
      <c r="B33" s="13" t="s">
        <v>63</v>
      </c>
      <c r="C33" s="48" t="s">
        <v>74</v>
      </c>
      <c r="D33" s="47">
        <v>46084</v>
      </c>
      <c r="E33" s="32">
        <v>46098</v>
      </c>
      <c r="F33" s="38" t="s">
        <v>46</v>
      </c>
      <c r="G33" s="84"/>
      <c r="H33" s="85">
        <f t="shared" ca="1" si="1"/>
        <v>46118</v>
      </c>
      <c r="I33" s="53">
        <f t="shared" ca="1" si="0"/>
        <v>-20</v>
      </c>
      <c r="J33" s="24"/>
    </row>
    <row r="34" spans="1:10" ht="24" hidden="1">
      <c r="A34" s="105"/>
      <c r="B34" s="31" t="s">
        <v>64</v>
      </c>
      <c r="C34" s="51" t="s">
        <v>73</v>
      </c>
      <c r="D34" s="28">
        <v>46079</v>
      </c>
      <c r="E34" s="34">
        <v>46086</v>
      </c>
      <c r="F34" s="30" t="s">
        <v>28</v>
      </c>
      <c r="G34" s="83"/>
      <c r="H34" s="85">
        <f t="shared" ca="1" si="1"/>
        <v>46118</v>
      </c>
      <c r="I34" s="49">
        <f t="shared" ca="1" si="0"/>
        <v>-32</v>
      </c>
      <c r="J34" s="24"/>
    </row>
    <row r="35" spans="1:10" ht="40" hidden="1" customHeight="1">
      <c r="A35" s="105">
        <v>46082</v>
      </c>
      <c r="B35" s="31" t="s">
        <v>70</v>
      </c>
      <c r="C35" s="51" t="s">
        <v>73</v>
      </c>
      <c r="D35" s="28">
        <v>46085</v>
      </c>
      <c r="E35" s="34">
        <v>46098</v>
      </c>
      <c r="F35" s="30" t="s">
        <v>28</v>
      </c>
      <c r="G35" s="83">
        <v>16000</v>
      </c>
      <c r="H35" s="85">
        <f ca="1">TODAY()</f>
        <v>46118</v>
      </c>
      <c r="I35" s="53">
        <f t="shared" ca="1" si="0"/>
        <v>-20</v>
      </c>
      <c r="J35" s="24"/>
    </row>
    <row r="36" spans="1:10" ht="21" hidden="1" customHeight="1">
      <c r="A36" s="105"/>
      <c r="B36" s="31" t="s">
        <v>66</v>
      </c>
      <c r="C36" s="51" t="s">
        <v>73</v>
      </c>
      <c r="D36" s="28">
        <v>46085</v>
      </c>
      <c r="E36" s="34">
        <v>46090</v>
      </c>
      <c r="F36" s="30" t="s">
        <v>15</v>
      </c>
      <c r="G36" s="83"/>
      <c r="H36" s="85">
        <f ca="1">TODAY()</f>
        <v>46118</v>
      </c>
      <c r="I36" s="49">
        <f t="shared" ca="1" si="0"/>
        <v>-28</v>
      </c>
      <c r="J36" s="24"/>
    </row>
    <row r="37" spans="1:10" ht="21" hidden="1" customHeight="1">
      <c r="A37" s="105"/>
      <c r="B37" s="31" t="s">
        <v>67</v>
      </c>
      <c r="C37" s="51" t="s">
        <v>73</v>
      </c>
      <c r="D37" s="28">
        <v>46086</v>
      </c>
      <c r="E37" s="34">
        <v>46090</v>
      </c>
      <c r="F37" s="30" t="s">
        <v>15</v>
      </c>
      <c r="G37" s="83"/>
      <c r="H37" s="85">
        <f ca="1">TODAY()</f>
        <v>46118</v>
      </c>
      <c r="I37" s="49">
        <f t="shared" ca="1" si="0"/>
        <v>-28</v>
      </c>
      <c r="J37" s="25"/>
    </row>
    <row r="38" spans="1:10" ht="44" hidden="1" customHeight="1">
      <c r="A38" s="105"/>
      <c r="B38" s="31" t="s">
        <v>84</v>
      </c>
      <c r="C38" s="51" t="s">
        <v>73</v>
      </c>
      <c r="D38" s="28">
        <v>46084</v>
      </c>
      <c r="E38" s="34">
        <v>46107</v>
      </c>
      <c r="F38" s="30" t="s">
        <v>24</v>
      </c>
      <c r="G38" s="83">
        <v>24000</v>
      </c>
      <c r="H38" s="85">
        <f ca="1">TODAY()</f>
        <v>46118</v>
      </c>
      <c r="I38" s="53">
        <f ca="1">_xlfn.DAYS(E38,H38)</f>
        <v>-11</v>
      </c>
      <c r="J38" s="54"/>
    </row>
    <row r="39" spans="1:10" ht="21" hidden="1" customHeight="1">
      <c r="A39" s="105"/>
      <c r="B39" s="31" t="s">
        <v>68</v>
      </c>
      <c r="C39" s="51" t="s">
        <v>73</v>
      </c>
      <c r="D39" s="28">
        <v>46087</v>
      </c>
      <c r="E39" s="34">
        <v>46093</v>
      </c>
      <c r="F39" s="54" t="s">
        <v>15</v>
      </c>
      <c r="G39" s="83">
        <v>4000</v>
      </c>
      <c r="H39" s="85">
        <f ca="1">TODAY()</f>
        <v>46118</v>
      </c>
      <c r="I39" s="53">
        <f t="shared" ca="1" si="0"/>
        <v>-25</v>
      </c>
      <c r="J39" s="54"/>
    </row>
    <row r="40" spans="1:10" ht="21" hidden="1" customHeight="1">
      <c r="A40" s="105"/>
      <c r="B40" s="31" t="s">
        <v>49</v>
      </c>
      <c r="C40" s="51" t="s">
        <v>73</v>
      </c>
      <c r="D40" s="28">
        <v>46088</v>
      </c>
      <c r="E40" s="34">
        <v>46098</v>
      </c>
      <c r="F40" s="54" t="s">
        <v>15</v>
      </c>
      <c r="G40" s="83">
        <v>8000</v>
      </c>
      <c r="H40" s="85">
        <f t="shared" ref="H40:H78" ca="1" si="2">TODAY()</f>
        <v>46118</v>
      </c>
      <c r="I40" s="53">
        <f t="shared" ca="1" si="0"/>
        <v>-20</v>
      </c>
      <c r="J40" s="54"/>
    </row>
    <row r="41" spans="1:10" ht="21" hidden="1" customHeight="1">
      <c r="A41" s="105"/>
      <c r="B41" s="31" t="s">
        <v>38</v>
      </c>
      <c r="C41" s="51" t="s">
        <v>73</v>
      </c>
      <c r="D41" s="28">
        <v>46092</v>
      </c>
      <c r="E41" s="34">
        <v>46099</v>
      </c>
      <c r="F41" s="54" t="s">
        <v>15</v>
      </c>
      <c r="G41" s="83">
        <v>8000</v>
      </c>
      <c r="H41" s="85">
        <f t="shared" ca="1" si="2"/>
        <v>46118</v>
      </c>
      <c r="I41" s="53">
        <f t="shared" ca="1" si="0"/>
        <v>-19</v>
      </c>
      <c r="J41" s="54"/>
    </row>
    <row r="42" spans="1:10" ht="21" hidden="1" customHeight="1">
      <c r="A42" s="105"/>
      <c r="B42" s="31" t="s">
        <v>69</v>
      </c>
      <c r="C42" s="51" t="s">
        <v>73</v>
      </c>
      <c r="D42" s="28">
        <v>46094</v>
      </c>
      <c r="E42" s="34">
        <v>46111</v>
      </c>
      <c r="F42" s="54" t="s">
        <v>24</v>
      </c>
      <c r="G42" s="83"/>
      <c r="H42" s="85">
        <f t="shared" ca="1" si="2"/>
        <v>46118</v>
      </c>
      <c r="I42" s="53">
        <f t="shared" ca="1" si="0"/>
        <v>-7</v>
      </c>
      <c r="J42" s="54"/>
    </row>
    <row r="43" spans="1:10" ht="21" hidden="1" customHeight="1">
      <c r="A43" s="105"/>
      <c r="B43" s="31" t="s">
        <v>72</v>
      </c>
      <c r="C43" s="51" t="s">
        <v>73</v>
      </c>
      <c r="D43" s="28">
        <v>46094</v>
      </c>
      <c r="E43" s="34">
        <v>46099</v>
      </c>
      <c r="F43" s="54" t="s">
        <v>15</v>
      </c>
      <c r="G43" s="83"/>
      <c r="H43" s="85">
        <f t="shared" ca="1" si="2"/>
        <v>46118</v>
      </c>
      <c r="I43" s="53">
        <f t="shared" ca="1" si="0"/>
        <v>-19</v>
      </c>
      <c r="J43" s="54"/>
    </row>
    <row r="44" spans="1:10" ht="21" hidden="1" customHeight="1">
      <c r="A44" s="105"/>
      <c r="B44" s="31" t="s">
        <v>76</v>
      </c>
      <c r="C44" s="51" t="s">
        <v>77</v>
      </c>
      <c r="D44" s="28">
        <v>46098</v>
      </c>
      <c r="E44" s="34">
        <v>46113</v>
      </c>
      <c r="F44" s="54" t="s">
        <v>46</v>
      </c>
      <c r="G44" s="83"/>
      <c r="H44" s="85">
        <f t="shared" ca="1" si="2"/>
        <v>46118</v>
      </c>
      <c r="I44" s="53">
        <f t="shared" ca="1" si="0"/>
        <v>-5</v>
      </c>
      <c r="J44" s="54"/>
    </row>
    <row r="45" spans="1:10" ht="39" hidden="1" customHeight="1">
      <c r="A45" s="105"/>
      <c r="B45" s="31" t="s">
        <v>78</v>
      </c>
      <c r="C45" s="51" t="s">
        <v>73</v>
      </c>
      <c r="D45" s="28">
        <v>46099</v>
      </c>
      <c r="E45" s="34">
        <v>46104</v>
      </c>
      <c r="F45" s="54" t="s">
        <v>15</v>
      </c>
      <c r="G45" s="83"/>
      <c r="H45" s="85">
        <f t="shared" ca="1" si="2"/>
        <v>46118</v>
      </c>
      <c r="I45" s="53">
        <f t="shared" ca="1" si="0"/>
        <v>-14</v>
      </c>
      <c r="J45" s="54"/>
    </row>
    <row r="46" spans="1:10" ht="21" hidden="1" customHeight="1">
      <c r="A46" s="105"/>
      <c r="B46" s="31" t="s">
        <v>81</v>
      </c>
      <c r="C46" s="51" t="s">
        <v>73</v>
      </c>
      <c r="D46" s="28">
        <v>46099</v>
      </c>
      <c r="E46" s="34">
        <v>46112</v>
      </c>
      <c r="F46" s="54" t="s">
        <v>28</v>
      </c>
      <c r="G46" s="83">
        <v>16000</v>
      </c>
      <c r="H46" s="85">
        <f t="shared" ca="1" si="2"/>
        <v>46118</v>
      </c>
      <c r="I46" s="53">
        <f t="shared" ca="1" si="0"/>
        <v>-6</v>
      </c>
      <c r="J46" s="54"/>
    </row>
    <row r="47" spans="1:10" ht="55" hidden="1" customHeight="1">
      <c r="A47" s="105"/>
      <c r="B47" s="31" t="s">
        <v>173</v>
      </c>
      <c r="C47" s="51" t="s">
        <v>73</v>
      </c>
      <c r="D47" s="28">
        <v>46107</v>
      </c>
      <c r="E47" s="34">
        <v>46111</v>
      </c>
      <c r="F47" s="54" t="s">
        <v>15</v>
      </c>
      <c r="G47" s="83"/>
      <c r="H47" s="85">
        <f t="shared" ca="1" si="2"/>
        <v>46118</v>
      </c>
      <c r="I47" s="53">
        <f t="shared" ca="1" si="0"/>
        <v>-7</v>
      </c>
      <c r="J47" s="54"/>
    </row>
    <row r="48" spans="1:10" ht="27" customHeight="1">
      <c r="A48" s="105"/>
      <c r="B48" s="13" t="s">
        <v>174</v>
      </c>
      <c r="C48" s="48" t="s">
        <v>73</v>
      </c>
      <c r="D48" s="47">
        <v>46111</v>
      </c>
      <c r="E48" s="32">
        <v>46117</v>
      </c>
      <c r="F48" s="88" t="s">
        <v>15</v>
      </c>
      <c r="G48" s="110">
        <v>20000</v>
      </c>
      <c r="H48" s="85">
        <f t="shared" ca="1" si="2"/>
        <v>46118</v>
      </c>
      <c r="I48" s="53">
        <f t="shared" ca="1" si="0"/>
        <v>-1</v>
      </c>
      <c r="J48" s="88"/>
    </row>
    <row r="49" spans="1:10" ht="27" customHeight="1">
      <c r="A49" s="105"/>
      <c r="B49" s="13" t="s">
        <v>175</v>
      </c>
      <c r="C49" s="48" t="s">
        <v>74</v>
      </c>
      <c r="D49" s="47">
        <v>46111</v>
      </c>
      <c r="E49" s="32">
        <v>46117</v>
      </c>
      <c r="F49" s="88" t="s">
        <v>15</v>
      </c>
      <c r="G49" s="111"/>
      <c r="H49" s="85">
        <f t="shared" ca="1" si="2"/>
        <v>46118</v>
      </c>
      <c r="I49" s="53">
        <f t="shared" ca="1" si="0"/>
        <v>-1</v>
      </c>
      <c r="J49" s="88"/>
    </row>
    <row r="50" spans="1:10" ht="21" customHeight="1">
      <c r="A50" s="105"/>
      <c r="B50" s="13" t="s">
        <v>175</v>
      </c>
      <c r="C50" s="48" t="s">
        <v>176</v>
      </c>
      <c r="D50" s="47">
        <v>46111</v>
      </c>
      <c r="E50" s="32">
        <v>46124</v>
      </c>
      <c r="F50" s="88" t="s">
        <v>28</v>
      </c>
      <c r="G50" s="112"/>
      <c r="H50" s="85">
        <f t="shared" ca="1" si="2"/>
        <v>46118</v>
      </c>
      <c r="I50" s="39">
        <f t="shared" ca="1" si="0"/>
        <v>6</v>
      </c>
      <c r="J50" s="88"/>
    </row>
    <row r="51" spans="1:10" ht="24">
      <c r="A51" s="105">
        <v>46113</v>
      </c>
      <c r="B51" s="31" t="s">
        <v>95</v>
      </c>
      <c r="C51" s="51" t="s">
        <v>179</v>
      </c>
      <c r="D51" s="28">
        <v>46113</v>
      </c>
      <c r="E51" s="34">
        <v>46142</v>
      </c>
      <c r="F51" s="54" t="s">
        <v>180</v>
      </c>
      <c r="G51" s="83"/>
      <c r="H51" s="85">
        <f t="shared" ca="1" si="2"/>
        <v>46118</v>
      </c>
      <c r="I51" s="39">
        <f t="shared" ca="1" si="0"/>
        <v>24</v>
      </c>
      <c r="J51" s="54"/>
    </row>
    <row r="52" spans="1:10" ht="24">
      <c r="A52" s="105"/>
      <c r="B52" s="31" t="s">
        <v>84</v>
      </c>
      <c r="C52" s="51" t="s">
        <v>179</v>
      </c>
      <c r="D52" s="28">
        <v>46113</v>
      </c>
      <c r="E52" s="34">
        <v>46126</v>
      </c>
      <c r="F52" s="54" t="s">
        <v>28</v>
      </c>
      <c r="G52" s="83">
        <v>24000</v>
      </c>
      <c r="H52" s="85">
        <f t="shared" ca="1" si="2"/>
        <v>46118</v>
      </c>
      <c r="I52" s="39">
        <f t="shared" ca="1" si="0"/>
        <v>8</v>
      </c>
      <c r="J52" s="25"/>
    </row>
    <row r="53" spans="1:10" ht="24">
      <c r="A53" s="105"/>
      <c r="B53" s="31" t="s">
        <v>183</v>
      </c>
      <c r="C53" s="89" t="s">
        <v>77</v>
      </c>
      <c r="D53" s="28">
        <v>46115</v>
      </c>
      <c r="E53" s="34">
        <v>46129</v>
      </c>
      <c r="F53" s="54" t="s">
        <v>28</v>
      </c>
      <c r="G53" s="83">
        <v>10000</v>
      </c>
      <c r="H53" s="85">
        <f t="shared" ca="1" si="2"/>
        <v>46118</v>
      </c>
      <c r="I53" s="39">
        <f t="shared" ca="1" si="0"/>
        <v>11</v>
      </c>
      <c r="J53" s="25" t="s">
        <v>187</v>
      </c>
    </row>
    <row r="54" spans="1:10" ht="24">
      <c r="A54" s="105"/>
      <c r="B54" s="31" t="s">
        <v>183</v>
      </c>
      <c r="C54" s="89" t="s">
        <v>185</v>
      </c>
      <c r="D54" s="92">
        <v>46150</v>
      </c>
      <c r="E54" s="34">
        <v>46164</v>
      </c>
      <c r="F54" s="54" t="s">
        <v>28</v>
      </c>
      <c r="G54" s="83">
        <v>10000</v>
      </c>
      <c r="H54" s="85">
        <f t="shared" ca="1" si="2"/>
        <v>46118</v>
      </c>
      <c r="I54" s="39">
        <f t="shared" ca="1" si="0"/>
        <v>46</v>
      </c>
      <c r="J54" s="91" t="s">
        <v>186</v>
      </c>
    </row>
    <row r="55" spans="1:10" ht="41">
      <c r="A55" s="105"/>
      <c r="B55" s="90" t="s">
        <v>188</v>
      </c>
      <c r="C55" s="89" t="s">
        <v>179</v>
      </c>
      <c r="D55" s="28">
        <v>46115</v>
      </c>
      <c r="E55" s="34">
        <v>46124</v>
      </c>
      <c r="F55" s="54" t="s">
        <v>28</v>
      </c>
      <c r="G55" s="83" t="s">
        <v>189</v>
      </c>
      <c r="H55" s="85">
        <f t="shared" ca="1" si="2"/>
        <v>46118</v>
      </c>
      <c r="I55" s="39">
        <f t="shared" ca="1" si="0"/>
        <v>6</v>
      </c>
      <c r="J55" s="25"/>
    </row>
    <row r="56" spans="1:10" ht="24">
      <c r="A56" s="105"/>
      <c r="B56" s="90"/>
      <c r="C56" s="89"/>
      <c r="D56" s="28"/>
      <c r="E56" s="34"/>
      <c r="F56" s="54"/>
      <c r="G56" s="83"/>
      <c r="H56" s="85">
        <f t="shared" ca="1" si="2"/>
        <v>46118</v>
      </c>
      <c r="I56" s="39"/>
      <c r="J56" s="25"/>
    </row>
    <row r="57" spans="1:10" ht="24">
      <c r="A57" s="105"/>
      <c r="B57" s="90"/>
      <c r="C57" s="89"/>
      <c r="D57" s="28"/>
      <c r="E57" s="34"/>
      <c r="F57" s="54"/>
      <c r="G57" s="83"/>
      <c r="H57" s="85">
        <f t="shared" ca="1" si="2"/>
        <v>46118</v>
      </c>
      <c r="I57" s="39"/>
      <c r="J57" s="25"/>
    </row>
    <row r="58" spans="1:10" ht="24">
      <c r="A58" s="105"/>
      <c r="B58" s="90"/>
      <c r="C58" s="89"/>
      <c r="D58" s="28"/>
      <c r="E58" s="34"/>
      <c r="F58" s="54"/>
      <c r="G58" s="83"/>
      <c r="H58" s="85">
        <f t="shared" ca="1" si="2"/>
        <v>46118</v>
      </c>
      <c r="I58" s="39"/>
      <c r="J58" s="25"/>
    </row>
    <row r="59" spans="1:10" ht="24">
      <c r="A59" s="105"/>
      <c r="B59" s="90"/>
      <c r="C59" s="89"/>
      <c r="D59" s="28"/>
      <c r="E59" s="34"/>
      <c r="F59" s="54"/>
      <c r="G59" s="83"/>
      <c r="H59" s="85">
        <f t="shared" ca="1" si="2"/>
        <v>46118</v>
      </c>
      <c r="I59" s="39"/>
      <c r="J59" s="25"/>
    </row>
    <row r="60" spans="1:10" ht="24">
      <c r="A60" s="105"/>
      <c r="B60" s="90"/>
      <c r="C60" s="89"/>
      <c r="D60" s="28"/>
      <c r="E60" s="34"/>
      <c r="F60" s="54"/>
      <c r="G60" s="83"/>
      <c r="H60" s="85">
        <f t="shared" ca="1" si="2"/>
        <v>46118</v>
      </c>
      <c r="I60" s="39"/>
      <c r="J60" s="25"/>
    </row>
    <row r="61" spans="1:10" ht="24">
      <c r="A61" s="105"/>
      <c r="B61" s="90"/>
      <c r="C61" s="89"/>
      <c r="D61" s="28"/>
      <c r="E61" s="34"/>
      <c r="F61" s="54"/>
      <c r="G61" s="83"/>
      <c r="H61" s="85">
        <f t="shared" ca="1" si="2"/>
        <v>46118</v>
      </c>
      <c r="I61" s="39"/>
      <c r="J61" s="25"/>
    </row>
    <row r="62" spans="1:10" ht="24">
      <c r="A62" s="105"/>
      <c r="B62" s="90"/>
      <c r="C62" s="89"/>
      <c r="D62" s="28"/>
      <c r="E62" s="34"/>
      <c r="F62" s="54"/>
      <c r="G62" s="83"/>
      <c r="H62" s="85">
        <f t="shared" ca="1" si="2"/>
        <v>46118</v>
      </c>
      <c r="I62" s="39"/>
      <c r="J62" s="25"/>
    </row>
    <row r="63" spans="1:10" ht="24">
      <c r="A63" s="105"/>
      <c r="B63" s="90"/>
      <c r="C63" s="89"/>
      <c r="D63" s="28"/>
      <c r="E63" s="34"/>
      <c r="F63" s="54"/>
      <c r="G63" s="83"/>
      <c r="H63" s="85">
        <f t="shared" ca="1" si="2"/>
        <v>46118</v>
      </c>
      <c r="I63" s="39"/>
      <c r="J63" s="25"/>
    </row>
    <row r="64" spans="1:10" ht="24">
      <c r="A64" s="105"/>
      <c r="B64" s="90"/>
      <c r="C64" s="89"/>
      <c r="D64" s="28"/>
      <c r="E64" s="34"/>
      <c r="F64" s="54"/>
      <c r="G64" s="83"/>
      <c r="H64" s="85">
        <f t="shared" ca="1" si="2"/>
        <v>46118</v>
      </c>
      <c r="I64" s="39"/>
      <c r="J64" s="25"/>
    </row>
    <row r="65" spans="1:10" ht="24">
      <c r="A65" s="105">
        <v>46143</v>
      </c>
      <c r="B65" s="90"/>
      <c r="C65" s="89"/>
      <c r="D65" s="28"/>
      <c r="E65" s="34"/>
      <c r="F65" s="54"/>
      <c r="G65" s="83"/>
      <c r="H65" s="85">
        <f t="shared" ca="1" si="2"/>
        <v>46118</v>
      </c>
      <c r="I65" s="39"/>
      <c r="J65" s="25"/>
    </row>
    <row r="66" spans="1:10" ht="24">
      <c r="A66" s="105"/>
      <c r="B66" s="90"/>
      <c r="C66" s="89"/>
      <c r="D66" s="28"/>
      <c r="E66" s="34"/>
      <c r="F66" s="54"/>
      <c r="G66" s="83"/>
      <c r="H66" s="85">
        <f t="shared" ca="1" si="2"/>
        <v>46118</v>
      </c>
      <c r="I66" s="39"/>
      <c r="J66" s="25"/>
    </row>
    <row r="67" spans="1:10" ht="20">
      <c r="A67" s="105"/>
      <c r="B67" s="90"/>
      <c r="C67" s="89"/>
      <c r="D67" s="28"/>
      <c r="E67" s="34"/>
      <c r="F67" s="54"/>
      <c r="G67" s="78"/>
      <c r="H67" s="85">
        <f t="shared" ca="1" si="2"/>
        <v>46118</v>
      </c>
      <c r="I67" s="39"/>
      <c r="J67" s="25"/>
    </row>
    <row r="68" spans="1:10" ht="20">
      <c r="A68" s="105"/>
      <c r="B68" s="90"/>
      <c r="C68" s="89"/>
      <c r="D68" s="28"/>
      <c r="E68" s="34"/>
      <c r="F68" s="54"/>
      <c r="G68" s="78"/>
      <c r="H68" s="85">
        <f t="shared" ca="1" si="2"/>
        <v>46118</v>
      </c>
      <c r="I68" s="39"/>
      <c r="J68" s="25"/>
    </row>
    <row r="69" spans="1:10" ht="20">
      <c r="A69" s="105"/>
      <c r="B69" s="90"/>
      <c r="C69" s="89"/>
      <c r="D69" s="28"/>
      <c r="E69" s="34"/>
      <c r="F69" s="54"/>
      <c r="G69" s="78"/>
      <c r="H69" s="85">
        <f t="shared" ca="1" si="2"/>
        <v>46118</v>
      </c>
      <c r="I69" s="39"/>
      <c r="J69" s="25"/>
    </row>
    <row r="70" spans="1:10" ht="20">
      <c r="A70" s="105"/>
      <c r="B70" s="56"/>
      <c r="C70" s="57"/>
      <c r="D70" s="28"/>
      <c r="E70" s="34"/>
      <c r="F70" s="54"/>
      <c r="G70" s="54"/>
      <c r="H70" s="85">
        <f t="shared" ca="1" si="2"/>
        <v>46118</v>
      </c>
      <c r="I70" s="39"/>
      <c r="J70" s="25"/>
    </row>
    <row r="71" spans="1:10" ht="20">
      <c r="A71" s="105"/>
      <c r="B71" s="56"/>
      <c r="C71" s="57"/>
      <c r="D71" s="28"/>
      <c r="E71" s="28"/>
      <c r="F71" s="54"/>
      <c r="G71" s="54"/>
      <c r="H71" s="85">
        <f t="shared" ca="1" si="2"/>
        <v>46118</v>
      </c>
      <c r="I71" s="39"/>
      <c r="J71" s="25"/>
    </row>
    <row r="72" spans="1:10" ht="20">
      <c r="A72" s="105"/>
      <c r="B72" s="56"/>
      <c r="C72" s="57"/>
      <c r="D72" s="28"/>
      <c r="E72" s="28"/>
      <c r="F72" s="54"/>
      <c r="G72" s="54"/>
      <c r="H72" s="85">
        <f t="shared" ca="1" si="2"/>
        <v>46118</v>
      </c>
      <c r="I72" s="39"/>
      <c r="J72" s="25"/>
    </row>
    <row r="73" spans="1:10" ht="20">
      <c r="A73" s="105"/>
      <c r="B73" s="56"/>
      <c r="C73" s="57"/>
      <c r="D73" s="28"/>
      <c r="E73" s="28"/>
      <c r="F73" s="54"/>
      <c r="G73" s="54"/>
      <c r="H73" s="85">
        <f t="shared" ca="1" si="2"/>
        <v>46118</v>
      </c>
      <c r="I73" s="39"/>
      <c r="J73" s="25"/>
    </row>
    <row r="74" spans="1:10" ht="20">
      <c r="A74" s="105"/>
      <c r="B74" s="56"/>
      <c r="C74" s="57"/>
      <c r="D74" s="28"/>
      <c r="E74" s="28"/>
      <c r="F74" s="54"/>
      <c r="G74" s="54"/>
      <c r="H74" s="85">
        <f t="shared" ca="1" si="2"/>
        <v>46118</v>
      </c>
      <c r="I74" s="39"/>
      <c r="J74" s="25"/>
    </row>
    <row r="75" spans="1:10" ht="20">
      <c r="A75" s="105"/>
      <c r="B75" s="56"/>
      <c r="C75" s="57"/>
      <c r="D75" s="28"/>
      <c r="E75" s="28"/>
      <c r="F75" s="54"/>
      <c r="G75" s="54"/>
      <c r="H75" s="85">
        <f t="shared" ca="1" si="2"/>
        <v>46118</v>
      </c>
      <c r="I75" s="39"/>
      <c r="J75" s="25"/>
    </row>
    <row r="76" spans="1:10" ht="20">
      <c r="A76" s="105"/>
      <c r="B76" s="56"/>
      <c r="C76" s="57"/>
      <c r="D76" s="30"/>
      <c r="E76" s="30"/>
      <c r="F76" s="54"/>
      <c r="G76" s="54"/>
      <c r="H76" s="85">
        <f t="shared" ca="1" si="2"/>
        <v>46118</v>
      </c>
      <c r="I76" s="39"/>
      <c r="J76" s="25"/>
    </row>
    <row r="77" spans="1:10" ht="20">
      <c r="A77" s="105"/>
      <c r="B77" s="56"/>
      <c r="C77" s="57"/>
      <c r="D77" s="30"/>
      <c r="E77" s="30"/>
      <c r="F77" s="54"/>
      <c r="G77" s="54"/>
      <c r="H77" s="85">
        <f t="shared" ca="1" si="2"/>
        <v>46118</v>
      </c>
      <c r="I77" s="39"/>
      <c r="J77" s="25"/>
    </row>
    <row r="78" spans="1:10" ht="20">
      <c r="A78" s="105"/>
      <c r="B78" s="56"/>
      <c r="C78" s="57"/>
      <c r="D78" s="30"/>
      <c r="E78" s="30"/>
      <c r="F78" s="54"/>
      <c r="G78" s="54"/>
      <c r="H78" s="85">
        <f t="shared" ca="1" si="2"/>
        <v>46118</v>
      </c>
      <c r="I78" s="39"/>
      <c r="J78" s="25"/>
    </row>
    <row r="79" spans="1:10" ht="20">
      <c r="I79" s="39"/>
    </row>
  </sheetData>
  <mergeCells count="8">
    <mergeCell ref="A65:A78"/>
    <mergeCell ref="A51:A64"/>
    <mergeCell ref="A2:I2"/>
    <mergeCell ref="A5:A12"/>
    <mergeCell ref="A13:A24"/>
    <mergeCell ref="A25:A34"/>
    <mergeCell ref="A35:A50"/>
    <mergeCell ref="G48:G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C0BDB-2B9C-E940-9664-E2B4FC35BAE1}">
  <dimension ref="A1:B32"/>
  <sheetViews>
    <sheetView workbookViewId="0">
      <selection activeCell="A7" sqref="A7"/>
    </sheetView>
  </sheetViews>
  <sheetFormatPr baseColWidth="10" defaultRowHeight="20"/>
  <cols>
    <col min="1" max="2" width="30.5" style="42" customWidth="1"/>
    <col min="3" max="16384" width="10.83203125" style="41"/>
  </cols>
  <sheetData>
    <row r="1" spans="1:2" s="42" customFormat="1">
      <c r="A1" s="45" t="s">
        <v>58</v>
      </c>
      <c r="B1" s="45" t="s">
        <v>59</v>
      </c>
    </row>
    <row r="2" spans="1:2" s="42" customFormat="1">
      <c r="A2" s="44">
        <v>46049</v>
      </c>
      <c r="B2" s="46" t="s">
        <v>61</v>
      </c>
    </row>
    <row r="3" spans="1:2">
      <c r="A3" s="44">
        <v>46071</v>
      </c>
      <c r="B3" s="43" t="s">
        <v>60</v>
      </c>
    </row>
    <row r="4" spans="1:2">
      <c r="A4" s="44">
        <v>46073</v>
      </c>
      <c r="B4" s="43" t="s">
        <v>62</v>
      </c>
    </row>
    <row r="5" spans="1:2">
      <c r="A5" s="44"/>
      <c r="B5" s="43"/>
    </row>
    <row r="6" spans="1:2">
      <c r="A6" s="44"/>
      <c r="B6" s="43"/>
    </row>
    <row r="7" spans="1:2">
      <c r="A7" s="44"/>
      <c r="B7" s="43"/>
    </row>
    <row r="8" spans="1:2">
      <c r="A8" s="44"/>
      <c r="B8" s="43"/>
    </row>
    <row r="9" spans="1:2">
      <c r="A9" s="44"/>
      <c r="B9" s="43"/>
    </row>
    <row r="10" spans="1:2">
      <c r="A10" s="44"/>
      <c r="B10" s="43"/>
    </row>
    <row r="11" spans="1:2">
      <c r="A11" s="44"/>
      <c r="B11" s="43"/>
    </row>
    <row r="12" spans="1:2">
      <c r="A12" s="44"/>
      <c r="B12" s="43"/>
    </row>
    <row r="13" spans="1:2">
      <c r="A13" s="44"/>
      <c r="B13" s="43"/>
    </row>
    <row r="14" spans="1:2">
      <c r="A14" s="44"/>
      <c r="B14" s="43"/>
    </row>
    <row r="15" spans="1:2">
      <c r="A15" s="44"/>
      <c r="B15" s="43"/>
    </row>
    <row r="16" spans="1:2">
      <c r="A16" s="44"/>
      <c r="B16" s="43"/>
    </row>
    <row r="17" spans="1:2">
      <c r="A17" s="44"/>
      <c r="B17" s="43"/>
    </row>
    <row r="18" spans="1:2">
      <c r="A18" s="44"/>
      <c r="B18" s="43"/>
    </row>
    <row r="19" spans="1:2">
      <c r="A19" s="44"/>
      <c r="B19" s="43"/>
    </row>
    <row r="20" spans="1:2">
      <c r="A20" s="44"/>
      <c r="B20" s="43"/>
    </row>
    <row r="21" spans="1:2">
      <c r="A21" s="44"/>
      <c r="B21" s="43"/>
    </row>
    <row r="22" spans="1:2">
      <c r="A22" s="44"/>
      <c r="B22" s="43"/>
    </row>
    <row r="23" spans="1:2">
      <c r="A23" s="44"/>
      <c r="B23" s="43"/>
    </row>
    <row r="24" spans="1:2">
      <c r="A24" s="43"/>
      <c r="B24" s="43"/>
    </row>
    <row r="25" spans="1:2">
      <c r="A25" s="43"/>
      <c r="B25" s="43"/>
    </row>
    <row r="26" spans="1:2">
      <c r="A26" s="43"/>
      <c r="B26" s="43"/>
    </row>
    <row r="27" spans="1:2">
      <c r="A27" s="43"/>
      <c r="B27" s="43"/>
    </row>
    <row r="28" spans="1:2">
      <c r="A28" s="43"/>
      <c r="B28" s="43"/>
    </row>
    <row r="29" spans="1:2">
      <c r="A29" s="43"/>
      <c r="B29" s="43"/>
    </row>
    <row r="30" spans="1:2">
      <c r="A30" s="43"/>
      <c r="B30" s="43"/>
    </row>
    <row r="31" spans="1:2">
      <c r="A31" s="43"/>
      <c r="B31" s="43"/>
    </row>
    <row r="32" spans="1:2">
      <c r="A32" s="43"/>
      <c r="B32" s="4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AÇIKHAVA REZ.</vt:lpstr>
      <vt:lpstr>MAVİBAHÇE-ATAKENT REZ</vt:lpstr>
      <vt:lpstr>MAVİBAHÇE ATAKENT HATA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2026-01-19T13:38:34Z</cp:lastPrinted>
  <dcterms:created xsi:type="dcterms:W3CDTF">2025-01-22T12:55:34Z</dcterms:created>
  <dcterms:modified xsi:type="dcterms:W3CDTF">2026-04-06T11:53:57Z</dcterms:modified>
</cp:coreProperties>
</file>